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dy\OneDrive\Documents\"/>
    </mc:Choice>
  </mc:AlternateContent>
  <xr:revisionPtr revIDLastSave="0" documentId="13_ncr:1_{E12E13AF-B84F-4F02-BBFB-2E4CE95AAD5C}" xr6:coauthVersionLast="47" xr6:coauthVersionMax="47" xr10:uidLastSave="{00000000-0000-0000-0000-000000000000}"/>
  <bookViews>
    <workbookView xWindow="-110" yWindow="-110" windowWidth="19420" windowHeight="11020" xr2:uid="{CA44EF6F-A0F1-4B60-8C5D-8B48BBC76C6A}"/>
  </bookViews>
  <sheets>
    <sheet name="TimelineCP" sheetId="1" r:id="rId1"/>
    <sheet name="Perhitung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G11" i="2"/>
  <c r="G12" i="2"/>
  <c r="G13" i="2"/>
  <c r="G14" i="2"/>
  <c r="G15" i="2"/>
  <c r="G16" i="2"/>
  <c r="G10" i="2"/>
  <c r="H11" i="2" l="1"/>
  <c r="L11" i="2" s="1"/>
  <c r="L12" i="2"/>
  <c r="J12" i="2"/>
  <c r="K11" i="2"/>
  <c r="K15" i="2"/>
  <c r="K16" i="2"/>
  <c r="K12" i="2"/>
  <c r="F9" i="2"/>
  <c r="H9" i="2" s="1"/>
  <c r="F10" i="2"/>
  <c r="H10" i="2" s="1"/>
  <c r="F11" i="2"/>
  <c r="F12" i="2"/>
  <c r="H12" i="2"/>
  <c r="F13" i="2"/>
  <c r="H13" i="2"/>
  <c r="L13" i="2" s="1"/>
  <c r="F14" i="2"/>
  <c r="H14" i="2"/>
  <c r="I14" i="2" s="1"/>
  <c r="F15" i="2"/>
  <c r="H15" i="2"/>
  <c r="L15" i="2" s="1"/>
  <c r="F16" i="2"/>
  <c r="H16" i="2"/>
  <c r="L16" i="2" s="1"/>
  <c r="K13" i="2" l="1"/>
  <c r="J13" i="2"/>
  <c r="J16" i="2"/>
  <c r="J15" i="2"/>
  <c r="J14" i="2"/>
  <c r="L14" i="2"/>
  <c r="K14" i="2"/>
  <c r="K18" i="2" s="1"/>
  <c r="I11" i="2"/>
  <c r="J11" i="2"/>
  <c r="I10" i="2"/>
  <c r="L10" i="2"/>
  <c r="L18" i="2" s="1"/>
  <c r="J10" i="2"/>
  <c r="J18" i="2" s="1"/>
  <c r="K10" i="2"/>
  <c r="L9" i="2"/>
  <c r="J9" i="2"/>
  <c r="K9" i="2"/>
</calcChain>
</file>

<file path=xl/sharedStrings.xml><?xml version="1.0" encoding="utf-8"?>
<sst xmlns="http://schemas.openxmlformats.org/spreadsheetml/2006/main" count="59" uniqueCount="55">
  <si>
    <t>waktu</t>
  </si>
  <si>
    <t>rencana</t>
  </si>
  <si>
    <t>target hasil/output</t>
  </si>
  <si>
    <t>membuat model information retrieval</t>
  </si>
  <si>
    <t>Nilai relevansi dari dokumen</t>
  </si>
  <si>
    <t>pemahaman tentang perhitungan TF-IDF</t>
  </si>
  <si>
    <t>TIMELINE PENGERJAAN PROJECT CAPSTONE 75%</t>
  </si>
  <si>
    <t>Nama: Rusdianto</t>
  </si>
  <si>
    <t>6 hari</t>
  </si>
  <si>
    <t>hari</t>
  </si>
  <si>
    <t>perdalam pemahaman perhitungan metode TF-IDF</t>
  </si>
  <si>
    <t>SM:IMPLEMENTASI MODEL INFORMATION RETRIEVAL GUNA MENINGKATAN AKURASI PENCARIAN DOKUMEN PADA SISTEM MANAJEMEN DOKUMEN.</t>
  </si>
  <si>
    <t>7 hari</t>
  </si>
  <si>
    <t>22-27 Oktober</t>
  </si>
  <si>
    <t>Model Information Retrieval</t>
  </si>
  <si>
    <t>28 oktober -5 November</t>
  </si>
  <si>
    <t>UJIAN AKHIR 8-12 DESEMBER 2025</t>
  </si>
  <si>
    <t>MINGGU TENANG 1-6 DESEMBER 2025</t>
  </si>
  <si>
    <t>PERKULIHAN MULAI 26 JANUARI 2026</t>
  </si>
  <si>
    <t>melakukan perhitungan TF-IDF</t>
  </si>
  <si>
    <t>perankingan</t>
  </si>
  <si>
    <t>komunitas</t>
  </si>
  <si>
    <t>ikan</t>
  </si>
  <si>
    <t>produksi</t>
  </si>
  <si>
    <t>tahun</t>
  </si>
  <si>
    <t>windu</t>
  </si>
  <si>
    <t>udang</t>
  </si>
  <si>
    <t>lapor</t>
  </si>
  <si>
    <t>D3</t>
  </si>
  <si>
    <t>D2</t>
  </si>
  <si>
    <t>D1</t>
  </si>
  <si>
    <t>Kata Kunci</t>
  </si>
  <si>
    <t>W</t>
  </si>
  <si>
    <t>IDF(log D/DF)</t>
  </si>
  <si>
    <t>D/DF</t>
  </si>
  <si>
    <t>DF</t>
  </si>
  <si>
    <t>tf</t>
  </si>
  <si>
    <t>token</t>
  </si>
  <si>
    <t>masing masing kata (W)</t>
  </si>
  <si>
    <t>jumlah dokumen (D):</t>
  </si>
  <si>
    <t>Laporan harian kamunitas udang</t>
  </si>
  <si>
    <t>Dokumen 3(D3)</t>
  </si>
  <si>
    <t>Produksi ikan tahun 2025</t>
  </si>
  <si>
    <t>Dokumen 2(D2)</t>
  </si>
  <si>
    <t>Dokumen 1(D1)</t>
  </si>
  <si>
    <t>Produksi udang windu</t>
  </si>
  <si>
    <t>kata kunci</t>
  </si>
  <si>
    <t>Laporan udang windu dan udang lobster tahun 2025</t>
  </si>
  <si>
    <t>6-13 November</t>
  </si>
  <si>
    <t>8 hari</t>
  </si>
  <si>
    <t>17-21 November</t>
  </si>
  <si>
    <t>4 hari</t>
  </si>
  <si>
    <t>testing model dan evaluasi akurasi</t>
  </si>
  <si>
    <t>Persentase</t>
  </si>
  <si>
    <t>hasil evaluasi dan nilai akurasi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</si>
</sst>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/>
    <xf numFmtId="164" fontId="0" fillId="3" borderId="3" xfId="0" applyNumberFormat="1" applyFill="1" applyBorder="1"/>
    <xf numFmtId="0" fontId="0" fillId="0" borderId="0" xfId="0" applyAlignment="1">
      <alignment horizontal="center" vertical="center"/>
    </xf>
    <xf numFmtId="16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164" fontId="0" fillId="0" borderId="4" xfId="0" applyNumberFormat="1" applyBorder="1"/>
    <xf numFmtId="0" fontId="0" fillId="5" borderId="7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4" fontId="0" fillId="4" borderId="4" xfId="0" applyNumberFormat="1" applyFill="1" applyBorder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A657-0742-4EA3-841A-B5C683B58D09}">
  <dimension ref="A1:E11"/>
  <sheetViews>
    <sheetView tabSelected="1" zoomScale="134" workbookViewId="0">
      <selection activeCell="C8" sqref="C8"/>
    </sheetView>
  </sheetViews>
  <sheetFormatPr defaultRowHeight="14.5" x14ac:dyDescent="0.35"/>
  <cols>
    <col min="1" max="1" width="21.90625" style="2" customWidth="1"/>
    <col min="2" max="2" width="9" style="2" customWidth="1"/>
    <col min="3" max="3" width="31.1796875" style="2" customWidth="1"/>
    <col min="4" max="4" width="31.08984375" style="2" customWidth="1"/>
    <col min="5" max="5" width="11.81640625" customWidth="1"/>
  </cols>
  <sheetData>
    <row r="1" spans="1:5" x14ac:dyDescent="0.35">
      <c r="A1" s="21" t="s">
        <v>6</v>
      </c>
      <c r="B1" s="21"/>
      <c r="C1" s="21"/>
      <c r="D1" s="21"/>
    </row>
    <row r="2" spans="1:5" x14ac:dyDescent="0.35">
      <c r="A2" s="23" t="s">
        <v>7</v>
      </c>
      <c r="B2" s="23"/>
      <c r="C2" s="23"/>
      <c r="D2" s="23"/>
    </row>
    <row r="3" spans="1:5" ht="24.5" customHeight="1" x14ac:dyDescent="0.35">
      <c r="A3" s="22" t="s">
        <v>11</v>
      </c>
      <c r="B3" s="22"/>
      <c r="C3" s="22"/>
      <c r="D3" s="22"/>
    </row>
    <row r="4" spans="1:5" x14ac:dyDescent="0.35">
      <c r="A4" s="3" t="s">
        <v>0</v>
      </c>
      <c r="B4" s="3" t="s">
        <v>9</v>
      </c>
      <c r="C4" s="3" t="s">
        <v>1</v>
      </c>
      <c r="D4" s="3" t="s">
        <v>2</v>
      </c>
      <c r="E4" s="34" t="s">
        <v>53</v>
      </c>
    </row>
    <row r="5" spans="1:5" ht="29" x14ac:dyDescent="0.35">
      <c r="A5" s="4" t="s">
        <v>13</v>
      </c>
      <c r="B5" s="4" t="s">
        <v>8</v>
      </c>
      <c r="C5" s="4" t="s">
        <v>10</v>
      </c>
      <c r="D5" s="4" t="s">
        <v>5</v>
      </c>
      <c r="E5" s="31">
        <v>0.75</v>
      </c>
    </row>
    <row r="6" spans="1:5" x14ac:dyDescent="0.35">
      <c r="A6" s="4" t="s">
        <v>15</v>
      </c>
      <c r="B6" s="4" t="s">
        <v>12</v>
      </c>
      <c r="C6" s="4" t="s">
        <v>19</v>
      </c>
      <c r="D6" s="4" t="s">
        <v>4</v>
      </c>
      <c r="E6" s="32"/>
    </row>
    <row r="7" spans="1:5" ht="29" x14ac:dyDescent="0.35">
      <c r="A7" s="4" t="s">
        <v>48</v>
      </c>
      <c r="B7" s="4" t="s">
        <v>49</v>
      </c>
      <c r="C7" s="4" t="s">
        <v>3</v>
      </c>
      <c r="D7" s="4" t="s">
        <v>14</v>
      </c>
      <c r="E7" s="32"/>
    </row>
    <row r="8" spans="1:5" x14ac:dyDescent="0.35">
      <c r="A8" s="4" t="s">
        <v>50</v>
      </c>
      <c r="B8" s="4" t="s">
        <v>51</v>
      </c>
      <c r="C8" s="4" t="s">
        <v>52</v>
      </c>
      <c r="D8" s="4" t="s">
        <v>54</v>
      </c>
      <c r="E8" s="33"/>
    </row>
    <row r="9" spans="1:5" ht="18" customHeight="1" x14ac:dyDescent="0.35">
      <c r="A9" s="24" t="s">
        <v>17</v>
      </c>
      <c r="B9" s="24"/>
      <c r="C9" s="24"/>
      <c r="D9" s="1"/>
    </row>
    <row r="10" spans="1:5" ht="21" customHeight="1" x14ac:dyDescent="0.35">
      <c r="A10" s="20" t="s">
        <v>16</v>
      </c>
      <c r="B10" s="20"/>
      <c r="C10" s="20"/>
    </row>
    <row r="11" spans="1:5" ht="19.5" customHeight="1" x14ac:dyDescent="0.35">
      <c r="A11" s="20" t="s">
        <v>18</v>
      </c>
      <c r="B11" s="20"/>
      <c r="C11" s="20"/>
    </row>
  </sheetData>
  <mergeCells count="7">
    <mergeCell ref="E5:E8"/>
    <mergeCell ref="A11:C11"/>
    <mergeCell ref="A1:D1"/>
    <mergeCell ref="A3:D3"/>
    <mergeCell ref="A2:D2"/>
    <mergeCell ref="A9:C9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206E-DD7E-496F-A5CC-10AB803AC27C}">
  <dimension ref="A1:L18"/>
  <sheetViews>
    <sheetView workbookViewId="0">
      <selection activeCell="H4" sqref="H4"/>
    </sheetView>
  </sheetViews>
  <sheetFormatPr defaultRowHeight="14.5" x14ac:dyDescent="0.35"/>
  <cols>
    <col min="1" max="1" width="19.26953125" customWidth="1"/>
    <col min="2" max="2" width="10.36328125" customWidth="1"/>
    <col min="8" max="8" width="12.81640625" customWidth="1"/>
    <col min="9" max="9" width="10.90625" customWidth="1"/>
  </cols>
  <sheetData>
    <row r="1" spans="1:12" x14ac:dyDescent="0.35">
      <c r="A1" t="s">
        <v>46</v>
      </c>
      <c r="B1" s="25" t="s">
        <v>45</v>
      </c>
      <c r="C1" s="25"/>
      <c r="D1" s="25"/>
      <c r="E1" s="25"/>
      <c r="F1" s="25"/>
      <c r="G1" s="16"/>
    </row>
    <row r="2" spans="1:12" x14ac:dyDescent="0.35">
      <c r="A2" t="s">
        <v>44</v>
      </c>
      <c r="B2" s="30" t="s">
        <v>47</v>
      </c>
      <c r="C2" s="30"/>
      <c r="D2" s="30"/>
      <c r="E2" s="30"/>
      <c r="F2" s="30"/>
      <c r="G2" s="15"/>
    </row>
    <row r="3" spans="1:12" x14ac:dyDescent="0.35">
      <c r="A3" t="s">
        <v>43</v>
      </c>
      <c r="B3" s="30" t="s">
        <v>42</v>
      </c>
      <c r="C3" s="30"/>
      <c r="D3" s="30"/>
      <c r="E3" s="30"/>
      <c r="F3" s="30"/>
      <c r="G3" s="15"/>
    </row>
    <row r="4" spans="1:12" x14ac:dyDescent="0.35">
      <c r="A4" t="s">
        <v>41</v>
      </c>
      <c r="B4" s="30" t="s">
        <v>40</v>
      </c>
      <c r="C4" s="30"/>
      <c r="D4" s="30"/>
      <c r="E4" s="30"/>
      <c r="F4" s="30"/>
      <c r="G4" s="15"/>
    </row>
    <row r="5" spans="1:12" x14ac:dyDescent="0.35">
      <c r="A5" t="s">
        <v>39</v>
      </c>
      <c r="B5" s="15">
        <v>3</v>
      </c>
    </row>
    <row r="6" spans="1:12" x14ac:dyDescent="0.35">
      <c r="A6" t="s">
        <v>38</v>
      </c>
      <c r="B6" s="15"/>
    </row>
    <row r="7" spans="1:12" ht="15" thickBot="1" x14ac:dyDescent="0.4">
      <c r="A7" s="26" t="s">
        <v>37</v>
      </c>
      <c r="B7" s="26" t="s">
        <v>31</v>
      </c>
      <c r="C7" s="27" t="s">
        <v>36</v>
      </c>
      <c r="D7" s="27"/>
      <c r="E7" s="27"/>
      <c r="F7" s="26" t="s">
        <v>35</v>
      </c>
      <c r="G7" s="26" t="s">
        <v>34</v>
      </c>
      <c r="H7" s="26" t="s">
        <v>33</v>
      </c>
      <c r="I7" s="26" t="s">
        <v>32</v>
      </c>
      <c r="J7" s="28"/>
      <c r="K7" s="26"/>
      <c r="L7" s="26"/>
    </row>
    <row r="8" spans="1:12" x14ac:dyDescent="0.35">
      <c r="A8" s="26"/>
      <c r="B8" s="26"/>
      <c r="C8" s="13" t="s">
        <v>30</v>
      </c>
      <c r="D8" s="13" t="s">
        <v>29</v>
      </c>
      <c r="E8" s="13" t="s">
        <v>28</v>
      </c>
      <c r="F8" s="26"/>
      <c r="G8" s="26"/>
      <c r="H8" s="26"/>
      <c r="I8" s="12" t="s">
        <v>31</v>
      </c>
      <c r="J8" s="17" t="s">
        <v>30</v>
      </c>
      <c r="K8" s="18" t="s">
        <v>29</v>
      </c>
      <c r="L8" s="14" t="s">
        <v>28</v>
      </c>
    </row>
    <row r="9" spans="1:12" x14ac:dyDescent="0.35">
      <c r="A9" s="7" t="s">
        <v>27</v>
      </c>
      <c r="B9" s="7">
        <v>0</v>
      </c>
      <c r="C9" s="7">
        <v>1</v>
      </c>
      <c r="D9" s="7">
        <v>0</v>
      </c>
      <c r="E9" s="7">
        <v>1</v>
      </c>
      <c r="F9">
        <f t="shared" ref="F9:F16" si="0">SUM(C9:E9)</f>
        <v>2</v>
      </c>
      <c r="G9">
        <f>1+$B$5/F9</f>
        <v>2.5</v>
      </c>
      <c r="H9" s="5">
        <f t="shared" ref="H9:H16" si="1">LOG(G9)</f>
        <v>0.3979400086720376</v>
      </c>
      <c r="J9" s="11">
        <f>C9*H9</f>
        <v>0.3979400086720376</v>
      </c>
      <c r="K9" s="5">
        <f t="shared" ref="K9:K11" si="2">D9*H9</f>
        <v>0</v>
      </c>
      <c r="L9" s="5">
        <f>E9*H9</f>
        <v>0.3979400086720376</v>
      </c>
    </row>
    <row r="10" spans="1:12" x14ac:dyDescent="0.35">
      <c r="A10" s="10" t="s">
        <v>26</v>
      </c>
      <c r="B10" s="10">
        <v>1</v>
      </c>
      <c r="C10" s="10">
        <v>1</v>
      </c>
      <c r="D10" s="10">
        <v>0</v>
      </c>
      <c r="E10" s="10">
        <v>1</v>
      </c>
      <c r="F10" s="9">
        <f t="shared" si="0"/>
        <v>2</v>
      </c>
      <c r="G10" s="9">
        <f>1+$B$5/F10</f>
        <v>2.5</v>
      </c>
      <c r="H10" s="8">
        <f t="shared" si="1"/>
        <v>0.3979400086720376</v>
      </c>
      <c r="I10" s="8">
        <f>H10</f>
        <v>0.3979400086720376</v>
      </c>
      <c r="J10" s="19">
        <f t="shared" ref="J10:J16" si="3">C10*H10</f>
        <v>0.3979400086720376</v>
      </c>
      <c r="K10" s="8">
        <f t="shared" si="2"/>
        <v>0</v>
      </c>
      <c r="L10" s="8">
        <f>E10*H10</f>
        <v>0.3979400086720376</v>
      </c>
    </row>
    <row r="11" spans="1:12" x14ac:dyDescent="0.35">
      <c r="A11" s="10" t="s">
        <v>25</v>
      </c>
      <c r="B11" s="10">
        <v>1</v>
      </c>
      <c r="C11" s="10">
        <v>1</v>
      </c>
      <c r="D11" s="10">
        <v>0</v>
      </c>
      <c r="E11" s="10">
        <v>0</v>
      </c>
      <c r="F11" s="9">
        <f t="shared" si="0"/>
        <v>1</v>
      </c>
      <c r="G11" s="9">
        <f t="shared" ref="G11:G16" si="4">1+$B$5/F11</f>
        <v>4</v>
      </c>
      <c r="H11" s="8">
        <f t="shared" si="1"/>
        <v>0.6020599913279624</v>
      </c>
      <c r="I11" s="8">
        <f>H11</f>
        <v>0.6020599913279624</v>
      </c>
      <c r="J11" s="19">
        <f t="shared" si="3"/>
        <v>0.6020599913279624</v>
      </c>
      <c r="K11" s="8">
        <f t="shared" si="2"/>
        <v>0</v>
      </c>
      <c r="L11" s="8">
        <f t="shared" ref="L11:L16" si="5">E11*H11</f>
        <v>0</v>
      </c>
    </row>
    <row r="12" spans="1:12" x14ac:dyDescent="0.35">
      <c r="A12" s="7" t="s">
        <v>24</v>
      </c>
      <c r="B12" s="7">
        <v>0</v>
      </c>
      <c r="C12" s="7">
        <v>1</v>
      </c>
      <c r="D12" s="7">
        <v>1</v>
      </c>
      <c r="E12" s="7">
        <v>0</v>
      </c>
      <c r="F12">
        <f t="shared" si="0"/>
        <v>2</v>
      </c>
      <c r="G12">
        <f t="shared" si="4"/>
        <v>2.5</v>
      </c>
      <c r="H12" s="5">
        <f t="shared" si="1"/>
        <v>0.3979400086720376</v>
      </c>
      <c r="J12" s="11">
        <f t="shared" si="3"/>
        <v>0.3979400086720376</v>
      </c>
      <c r="K12" s="5">
        <f>D12*H12</f>
        <v>0.3979400086720376</v>
      </c>
      <c r="L12" s="5">
        <f t="shared" si="5"/>
        <v>0</v>
      </c>
    </row>
    <row r="13" spans="1:12" x14ac:dyDescent="0.35">
      <c r="A13" s="7">
        <v>2025</v>
      </c>
      <c r="B13" s="7">
        <v>0</v>
      </c>
      <c r="C13" s="7">
        <v>1</v>
      </c>
      <c r="D13" s="7">
        <v>1</v>
      </c>
      <c r="E13" s="7">
        <v>0</v>
      </c>
      <c r="F13">
        <f t="shared" si="0"/>
        <v>2</v>
      </c>
      <c r="G13">
        <f t="shared" si="4"/>
        <v>2.5</v>
      </c>
      <c r="H13" s="5">
        <f t="shared" si="1"/>
        <v>0.3979400086720376</v>
      </c>
      <c r="J13" s="11">
        <f t="shared" si="3"/>
        <v>0.3979400086720376</v>
      </c>
      <c r="K13" s="5">
        <f t="shared" ref="K13:K16" si="6">D13*H13</f>
        <v>0.3979400086720376</v>
      </c>
      <c r="L13" s="5">
        <f t="shared" si="5"/>
        <v>0</v>
      </c>
    </row>
    <row r="14" spans="1:12" x14ac:dyDescent="0.35">
      <c r="A14" s="10" t="s">
        <v>23</v>
      </c>
      <c r="B14" s="10">
        <v>1</v>
      </c>
      <c r="C14" s="10">
        <v>0</v>
      </c>
      <c r="D14" s="10">
        <v>1</v>
      </c>
      <c r="E14" s="10">
        <v>0</v>
      </c>
      <c r="F14" s="9">
        <f t="shared" si="0"/>
        <v>1</v>
      </c>
      <c r="G14" s="9">
        <f t="shared" si="4"/>
        <v>4</v>
      </c>
      <c r="H14" s="8">
        <f t="shared" si="1"/>
        <v>0.6020599913279624</v>
      </c>
      <c r="I14" s="8">
        <f>H14</f>
        <v>0.6020599913279624</v>
      </c>
      <c r="J14" s="19">
        <f t="shared" si="3"/>
        <v>0</v>
      </c>
      <c r="K14" s="8">
        <f t="shared" si="6"/>
        <v>0.6020599913279624</v>
      </c>
      <c r="L14" s="8">
        <f t="shared" si="5"/>
        <v>0</v>
      </c>
    </row>
    <row r="15" spans="1:12" x14ac:dyDescent="0.35">
      <c r="A15" s="7" t="s">
        <v>22</v>
      </c>
      <c r="B15" s="7">
        <v>0</v>
      </c>
      <c r="C15" s="7">
        <v>0</v>
      </c>
      <c r="D15" s="7">
        <v>1</v>
      </c>
      <c r="E15" s="7">
        <v>0</v>
      </c>
      <c r="F15">
        <f t="shared" si="0"/>
        <v>1</v>
      </c>
      <c r="G15">
        <f t="shared" si="4"/>
        <v>4</v>
      </c>
      <c r="H15" s="5">
        <f t="shared" si="1"/>
        <v>0.6020599913279624</v>
      </c>
      <c r="J15" s="11">
        <f t="shared" si="3"/>
        <v>0</v>
      </c>
      <c r="K15" s="5">
        <f t="shared" si="6"/>
        <v>0.6020599913279624</v>
      </c>
      <c r="L15" s="5">
        <f t="shared" si="5"/>
        <v>0</v>
      </c>
    </row>
    <row r="16" spans="1:12" x14ac:dyDescent="0.35">
      <c r="A16" s="7" t="s">
        <v>21</v>
      </c>
      <c r="B16" s="7">
        <v>0</v>
      </c>
      <c r="C16" s="7">
        <v>0</v>
      </c>
      <c r="D16" s="7">
        <v>0</v>
      </c>
      <c r="E16" s="7">
        <v>1</v>
      </c>
      <c r="F16">
        <f t="shared" si="0"/>
        <v>1</v>
      </c>
      <c r="G16">
        <f t="shared" si="4"/>
        <v>4</v>
      </c>
      <c r="H16" s="5">
        <f t="shared" si="1"/>
        <v>0.6020599913279624</v>
      </c>
      <c r="J16" s="11">
        <f t="shared" si="3"/>
        <v>0</v>
      </c>
      <c r="K16" s="5">
        <f t="shared" si="6"/>
        <v>0</v>
      </c>
      <c r="L16" s="5">
        <f t="shared" si="5"/>
        <v>0.6020599913279624</v>
      </c>
    </row>
    <row r="17" spans="1:12" x14ac:dyDescent="0.35">
      <c r="J17" s="11"/>
      <c r="K17" s="5"/>
      <c r="L17" s="5"/>
    </row>
    <row r="18" spans="1:12" ht="15" thickBot="1" x14ac:dyDescent="0.4">
      <c r="A18" s="7"/>
      <c r="G18" s="29" t="s">
        <v>20</v>
      </c>
      <c r="H18" s="29"/>
      <c r="I18" s="29"/>
      <c r="J18" s="6">
        <f>J10+J11+J14</f>
        <v>1</v>
      </c>
      <c r="K18" s="5">
        <f>K10+K11+K14</f>
        <v>0.6020599913279624</v>
      </c>
      <c r="L18" s="5">
        <f>L10+L11+L14</f>
        <v>0.3979400086720376</v>
      </c>
    </row>
  </sheetData>
  <mergeCells count="12">
    <mergeCell ref="I7:L7"/>
    <mergeCell ref="G18:I18"/>
    <mergeCell ref="B2:F2"/>
    <mergeCell ref="B3:F3"/>
    <mergeCell ref="B4:F4"/>
    <mergeCell ref="H7:H8"/>
    <mergeCell ref="G7:G8"/>
    <mergeCell ref="B1:F1"/>
    <mergeCell ref="A7:A8"/>
    <mergeCell ref="B7:B8"/>
    <mergeCell ref="C7:E7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TimelineCP</vt:lpstr>
      <vt:lpstr>Perhitungan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MasRus Rusdi</dc:creator>
  <cp:lastModifiedBy>MasRus Rusdi</cp:lastModifiedBy>
  <dcterms:created xsi:type="dcterms:W3CDTF">2025-10-27T00:55:34Z</dcterms:created>
  <dcterms:modified xsi:type="dcterms:W3CDTF">2025-11-22T02:07:13Z</dcterms:modified>
</cp:coreProperties>
</file>