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wa_Kamera" sheetId="1" state="visible" r:id="rId1"/>
    <sheet xmlns:r="http://schemas.openxmlformats.org/officeDocument/2006/relationships" name="Instruksi_Sol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MODEL SOLVER: USAHA SEWA KAMERA (MAKSIMASI LABA)</t>
        </is>
      </c>
    </row>
    <row r="3">
      <c r="A3" s="2" t="inlineStr">
        <is>
          <t>Parameter / Tipe Kamera</t>
        </is>
      </c>
      <c r="B3" s="2" t="inlineStr">
        <is>
          <t>DSLR (A)</t>
        </is>
      </c>
      <c r="C3" s="2" t="inlineStr">
        <is>
          <t>Mirrorless (B)</t>
        </is>
      </c>
      <c r="D3" s="2" t="inlineStr">
        <is>
          <t>VideoCam (C)</t>
        </is>
      </c>
      <c r="E3" s="2" t="inlineStr">
        <is>
          <t>GoPro (D)</t>
        </is>
      </c>
    </row>
    <row r="4">
      <c r="A4" s="3" t="inlineStr">
        <is>
          <t>Harga Sewa /hari (Rp)</t>
        </is>
      </c>
      <c r="B4" s="3" t="n">
        <v>200000</v>
      </c>
      <c r="C4" s="3" t="n">
        <v>180000</v>
      </c>
      <c r="D4" s="3" t="n">
        <v>250000</v>
      </c>
      <c r="E4" s="3" t="n">
        <v>100000</v>
      </c>
      <c r="G4" s="4" t="inlineStr">
        <is>
          <t>KETERANGAN</t>
        </is>
      </c>
    </row>
    <row r="5">
      <c r="A5" s="3" t="inlineStr">
        <is>
          <t>Biaya per rental (depresiasi+bersih) (Rp)</t>
        </is>
      </c>
      <c r="B5" s="3" t="n">
        <v>25000</v>
      </c>
      <c r="C5" s="3" t="n">
        <v>20000</v>
      </c>
      <c r="D5" s="3" t="n">
        <v>30000</v>
      </c>
      <c r="E5" s="3" t="n">
        <v>10000</v>
      </c>
      <c r="G5" s="3" t="inlineStr">
        <is>
          <t>Total waktu teknisi tersedia (menit)</t>
        </is>
      </c>
      <c r="H5" s="3" t="n">
        <v>480</v>
      </c>
    </row>
    <row r="6">
      <c r="A6" s="3" t="inlineStr">
        <is>
          <t>Laba per rental (Rp) (Harga - Biaya)</t>
        </is>
      </c>
      <c r="B6" s="3">
        <f>B4-B5</f>
        <v/>
      </c>
      <c r="C6" s="3">
        <f>C4-C5</f>
        <v/>
      </c>
      <c r="D6" s="3">
        <f>D4-D5</f>
        <v/>
      </c>
      <c r="E6" s="3">
        <f>E4-E5</f>
        <v/>
      </c>
      <c r="G6" s="3" t="inlineStr">
        <is>
          <t>Jumlah teknisi untuk pengantaran</t>
        </is>
      </c>
      <c r="H6" s="3" t="n">
        <v>2</v>
      </c>
    </row>
    <row r="7">
      <c r="A7" s="3" t="inlineStr">
        <is>
          <t>Unit tersedia (buah)</t>
        </is>
      </c>
      <c r="B7" s="3" t="n">
        <v>10</v>
      </c>
      <c r="C7" s="3" t="n">
        <v>8</v>
      </c>
      <c r="D7" s="3" t="n">
        <v>6</v>
      </c>
      <c r="E7" s="3" t="n">
        <v>12</v>
      </c>
      <c r="G7" s="3" t="inlineStr">
        <is>
          <t>Waktu antar/jemput per rental (menit)</t>
        </is>
      </c>
      <c r="H7" s="3" t="n">
        <v>20</v>
      </c>
    </row>
    <row r="8">
      <c r="A8" s="3" t="inlineStr">
        <is>
          <t>Perkiraan Permintaan /hari (unit)</t>
        </is>
      </c>
      <c r="B8" s="3" t="n">
        <v>8</v>
      </c>
      <c r="C8" s="3" t="n">
        <v>7</v>
      </c>
      <c r="D8" s="3" t="n">
        <v>5</v>
      </c>
      <c r="E8" s="3" t="n">
        <v>10</v>
      </c>
    </row>
    <row r="9">
      <c r="A9" s="3" t="inlineStr">
        <is>
          <t>Waktu handling per rental (menit)</t>
        </is>
      </c>
      <c r="B9" s="3" t="n">
        <v>30</v>
      </c>
      <c r="C9" s="3" t="n">
        <v>25</v>
      </c>
      <c r="D9" s="3" t="n">
        <v>45</v>
      </c>
      <c r="E9" s="3" t="n">
        <v>20</v>
      </c>
    </row>
    <row r="10">
      <c r="G10" s="5" t="inlineStr">
        <is>
          <t>TOTAL LABA (Rp)</t>
        </is>
      </c>
      <c r="H10" s="3">
        <f>SUMPRODUCT(B6:E6,B12:E12)</f>
        <v/>
      </c>
    </row>
    <row r="12">
      <c r="A12" s="5" t="inlineStr">
        <is>
          <t>Keputusan: Unit disewakan per hari (ubah sel ini)</t>
        </is>
      </c>
      <c r="B12" s="6" t="n">
        <v>0</v>
      </c>
      <c r="C12" s="6" t="n">
        <v>0</v>
      </c>
      <c r="D12" s="6" t="n">
        <v>0</v>
      </c>
      <c r="E12" s="6" t="n">
        <v>0</v>
      </c>
      <c r="G12" s="3" t="inlineStr">
        <is>
          <t>Pemakaian waktu handling (menit)</t>
        </is>
      </c>
      <c r="H12" s="3">
        <f>SUMPRODUCT(B8:E8,B12:E12)</f>
        <v/>
      </c>
    </row>
    <row r="13">
      <c r="G13" s="3" t="inlineStr">
        <is>
          <t>Pemakaian waktu antar-jemput (menit)</t>
        </is>
      </c>
      <c r="H13" s="3">
        <f>SUM(B12:E12)*H7</f>
        <v/>
      </c>
    </row>
    <row r="14">
      <c r="G14" s="3" t="inlineStr">
        <is>
          <t>Total waktu teknisi terpakai (menit)</t>
        </is>
      </c>
      <c r="H14" s="3">
        <f>H12+H13</f>
        <v/>
      </c>
    </row>
    <row r="16">
      <c r="A16" s="5" t="inlineStr">
        <is>
          <t>Batas Permintaan (&lt;=)</t>
        </is>
      </c>
      <c r="B16" s="3">
        <f>B12&lt;=B7</f>
        <v/>
      </c>
      <c r="C16" s="3">
        <f>C12&lt;=C7</f>
        <v/>
      </c>
      <c r="D16" s="3">
        <f>D12&lt;=D7</f>
        <v/>
      </c>
      <c r="E16" s="3">
        <f>E12&lt;=E7</f>
        <v/>
      </c>
      <c r="G16" t="inlineStr">
        <is>
          <t>Cek Total Waktu (&lt;=)</t>
        </is>
      </c>
      <c r="H16">
        <f>H14&lt;=H5</f>
        <v/>
      </c>
    </row>
    <row r="17">
      <c r="G17" t="inlineStr">
        <is>
          <t>Cek Unit tersedia per tipe (&lt;=)</t>
        </is>
      </c>
      <c r="H17" t="inlineStr">
        <is>
          <t>lihat baris bawah (B16:E16)</t>
        </is>
      </c>
    </row>
    <row r="18">
      <c r="A18" t="inlineStr">
        <is>
          <t>Unit tersedia (batas)</t>
        </is>
      </c>
      <c r="B18" s="6" t="n">
        <v>10</v>
      </c>
      <c r="C18" s="6" t="n">
        <v>8</v>
      </c>
      <c r="D18" s="6" t="n">
        <v>6</v>
      </c>
      <c r="E18" s="6" t="n">
        <v>12</v>
      </c>
    </row>
    <row r="20">
      <c r="A20" s="5" t="inlineStr">
        <is>
          <t>TOTAL UNIT DISEWAKAN</t>
        </is>
      </c>
      <c r="B20" s="3">
        <f>SUM(B12:E12)</f>
        <v/>
      </c>
    </row>
    <row r="22">
      <c r="A22" s="7" t="inlineStr">
        <is>
          <t>Catatan: B12:E12 harus bilangan bulat (integer) dan &gt;= 0. Gunakan Solver untuk maksimalkan H10.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Instruksi Solver untuk Sheet 'Sewa_Kamera' (Excel)</t>
        </is>
      </c>
    </row>
    <row r="3">
      <c r="A3" t="inlineStr">
        <is>
          <t>1) Buka Excel dan aktifkan Add-in Solver (File -&gt; Options -&gt; Add-ins -&gt; Manage Excel Add-ins -&gt; Tick 'Solver Add-in').</t>
        </is>
      </c>
    </row>
    <row r="4">
      <c r="A4" t="inlineStr">
        <is>
          <t>2) Pergi ke tab Data -&gt; Solver.</t>
        </is>
      </c>
    </row>
    <row r="5">
      <c r="A5" t="inlineStr">
        <is>
          <t>3) Set Objective: sel H10 (TOTAL LABA). Pilih 'Max'.</t>
        </is>
      </c>
    </row>
    <row r="6">
      <c r="A6" t="inlineStr">
        <is>
          <t>4) By Changing Variable Cells: B12:E12 (jumlah unit disewakan per hari untuk masing-masing tipe kamera).</t>
        </is>
      </c>
    </row>
    <row r="7">
      <c r="A7" t="inlineStr">
        <is>
          <t>5) Tambah Constraints:</t>
        </is>
      </c>
    </row>
    <row r="8">
      <c r="A8" t="inlineStr">
        <is>
          <t xml:space="preserve">   • B12 &lt;= B18; C12 &lt;= C18; D12 &lt;= D18; E12 &lt;= E18   (unit disediakan tidak boleh dilampaui).</t>
        </is>
      </c>
    </row>
    <row r="9">
      <c r="A9" t="inlineStr">
        <is>
          <t xml:space="preserve">   • B12 &lt;= B7; C12 &lt;= C7; D12 &lt;= D7; E12 &lt;= E7      (tidak melebihi permintaan perkiraan).</t>
        </is>
      </c>
    </row>
    <row r="10">
      <c r="A10" t="inlineStr">
        <is>
          <t xml:space="preserve">   • H14 &lt;= H5   (Total waktu teknisi terpakai &lt;= waktu teknisi tersedia).</t>
        </is>
      </c>
    </row>
    <row r="11">
      <c r="A11" t="inlineStr">
        <is>
          <t xml:space="preserve">   • B12:E12 &gt;= 0   (non-negatif).</t>
        </is>
      </c>
    </row>
    <row r="12">
      <c r="A12" t="inlineStr">
        <is>
          <t xml:space="preserve">   • B12:E12 integer (jumlah harus bilangan bulat).</t>
        </is>
      </c>
    </row>
    <row r="13">
      <c r="A13" t="inlineStr">
        <is>
          <t>6) Solving Method: Simplex LP (note: integer constraint akan membuat Solver pakai 'GRG Nonlinear' atau 'Evolutionary' tergantung setingan).</t>
        </is>
      </c>
    </row>
    <row r="14">
      <c r="A14" t="inlineStr">
        <is>
          <t>7) Klik Solve. Simpan solusi jika ingin.</t>
        </is>
      </c>
    </row>
    <row r="15">
      <c r="A15" t="inlineStr">
        <is>
          <t>Tips: Ubah harga sewa, biaya per rental, unit tersedia, atau jumlah teknisi untuk simulasi. Untuk menambahkan biaya tetap (sewa tempat) buat baris biaya tetap dan kurangkan dari total laba.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2025-08-27T01:32:18Z</dcterms:created>
  <dcterms:modified xmlns:dcterms="http://purl.org/dc/terms/" xmlns:xsi="http://www.w3.org/2001/XMLSchema-instance" xsi:type="dcterms:W3CDTF">2025-08-27T01:32:18Z</dcterms:modified>
</cp:coreProperties>
</file>