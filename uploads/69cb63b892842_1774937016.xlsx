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dy\OneDrive\Documents\"/>
    </mc:Choice>
  </mc:AlternateContent>
  <xr:revisionPtr revIDLastSave="0" documentId="13_ncr:1_{C184E0A1-D3D1-405E-91BB-FBEE3B74D0E4}" xr6:coauthVersionLast="47" xr6:coauthVersionMax="47" xr10:uidLastSave="{00000000-0000-0000-0000-000000000000}"/>
  <bookViews>
    <workbookView xWindow="-110" yWindow="-110" windowWidth="19420" windowHeight="11020" activeTab="1" xr2:uid="{08F067B7-4FB1-4591-A8DE-E9A6E2842D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" l="1"/>
  <c r="G13" i="2"/>
  <c r="G15" i="2"/>
  <c r="H15" i="2" s="1"/>
  <c r="G16" i="2"/>
  <c r="H16" i="2" s="1"/>
  <c r="K16" i="2" s="1"/>
  <c r="E17" i="2"/>
  <c r="D17" i="2"/>
  <c r="C17" i="2"/>
  <c r="G9" i="2"/>
  <c r="F10" i="2"/>
  <c r="G10" i="2" s="1"/>
  <c r="F11" i="2"/>
  <c r="G11" i="2" s="1"/>
  <c r="F12" i="2"/>
  <c r="F13" i="2"/>
  <c r="F14" i="2"/>
  <c r="G14" i="2" s="1"/>
  <c r="F15" i="2"/>
  <c r="F16" i="2"/>
  <c r="F9" i="2"/>
  <c r="M3" i="1"/>
  <c r="I4" i="1"/>
  <c r="M5" i="1"/>
  <c r="M6" i="1"/>
  <c r="M7" i="1"/>
  <c r="M8" i="1"/>
  <c r="M9" i="1"/>
  <c r="M10" i="1"/>
  <c r="M11" i="1"/>
  <c r="M12" i="1"/>
  <c r="O8" i="1"/>
  <c r="N9" i="1"/>
  <c r="L4" i="1"/>
  <c r="M4" i="1" s="1"/>
  <c r="I5" i="1"/>
  <c r="I3" i="1"/>
  <c r="H12" i="2"/>
  <c r="J12" i="2" s="1"/>
  <c r="H13" i="2"/>
  <c r="K13" i="2" s="1"/>
  <c r="O7" i="1"/>
  <c r="O11" i="1"/>
  <c r="O12" i="1"/>
  <c r="N7" i="1"/>
  <c r="L5" i="1"/>
  <c r="L6" i="1"/>
  <c r="L7" i="1"/>
  <c r="L8" i="1"/>
  <c r="L9" i="1"/>
  <c r="L10" i="1"/>
  <c r="L11" i="1"/>
  <c r="L12" i="1"/>
  <c r="L3" i="1"/>
  <c r="J4" i="1"/>
  <c r="J5" i="1"/>
  <c r="J6" i="1"/>
  <c r="J7" i="1"/>
  <c r="J8" i="1"/>
  <c r="J9" i="1"/>
  <c r="J10" i="1"/>
  <c r="J11" i="1"/>
  <c r="J12" i="1"/>
  <c r="J3" i="1"/>
  <c r="I6" i="1"/>
  <c r="I7" i="1"/>
  <c r="I8" i="1"/>
  <c r="N8" i="1" s="1"/>
  <c r="I9" i="1"/>
  <c r="I10" i="1"/>
  <c r="I11" i="1"/>
  <c r="N11" i="1" s="1"/>
  <c r="I12" i="1"/>
  <c r="N12" i="1" s="1"/>
  <c r="H13" i="1"/>
  <c r="K12" i="1" s="1"/>
  <c r="G13" i="1"/>
  <c r="L15" i="2" l="1"/>
  <c r="K15" i="2"/>
  <c r="H14" i="2"/>
  <c r="I14" i="2" s="1"/>
  <c r="K12" i="2"/>
  <c r="L13" i="2"/>
  <c r="J15" i="2"/>
  <c r="L16" i="2"/>
  <c r="J13" i="2"/>
  <c r="J16" i="2"/>
  <c r="L12" i="2"/>
  <c r="H11" i="2"/>
  <c r="H10" i="2"/>
  <c r="K10" i="2" s="1"/>
  <c r="H9" i="2"/>
  <c r="K9" i="2" s="1"/>
  <c r="L9" i="2"/>
  <c r="J9" i="2"/>
  <c r="K9" i="1"/>
  <c r="P9" i="1" s="1"/>
  <c r="K8" i="1"/>
  <c r="P8" i="1" s="1"/>
  <c r="K10" i="1"/>
  <c r="K5" i="1"/>
  <c r="P5" i="1" s="1"/>
  <c r="T5" i="1" s="1"/>
  <c r="K11" i="1"/>
  <c r="K4" i="1"/>
  <c r="K7" i="1"/>
  <c r="P7" i="1" s="1"/>
  <c r="K6" i="1"/>
  <c r="P6" i="1" s="1"/>
  <c r="N10" i="1"/>
  <c r="P12" i="1"/>
  <c r="P11" i="1"/>
  <c r="K3" i="1"/>
  <c r="P3" i="1" s="1"/>
  <c r="O9" i="1"/>
  <c r="N6" i="1"/>
  <c r="O6" i="1"/>
  <c r="O5" i="1"/>
  <c r="T4" i="1" s="1"/>
  <c r="N5" i="1"/>
  <c r="T3" i="1" s="1"/>
  <c r="N3" i="1"/>
  <c r="O3" i="1"/>
  <c r="O10" i="1"/>
  <c r="P10" i="1"/>
  <c r="P4" i="1"/>
  <c r="S5" i="1" s="1"/>
  <c r="U5" i="1" s="1"/>
  <c r="N4" i="1"/>
  <c r="S3" i="1" s="1"/>
  <c r="U3" i="1" s="1"/>
  <c r="O4" i="1"/>
  <c r="S4" i="1" s="1"/>
  <c r="K14" i="2" l="1"/>
  <c r="L14" i="2"/>
  <c r="J14" i="2"/>
  <c r="I11" i="2"/>
  <c r="L11" i="2"/>
  <c r="J11" i="2"/>
  <c r="K11" i="2"/>
  <c r="K18" i="2" s="1"/>
  <c r="I10" i="2"/>
  <c r="L10" i="2"/>
  <c r="L18" i="2" s="1"/>
  <c r="J10" i="2"/>
  <c r="J18" i="2"/>
  <c r="U4" i="1"/>
</calcChain>
</file>

<file path=xl/sharedStrings.xml><?xml version="1.0" encoding="utf-8"?>
<sst xmlns="http://schemas.openxmlformats.org/spreadsheetml/2006/main" count="82" uniqueCount="67">
  <si>
    <t>dokumen</t>
  </si>
  <si>
    <t>dokumen1</t>
  </si>
  <si>
    <t>dokumen2</t>
  </si>
  <si>
    <t>dokumen3</t>
  </si>
  <si>
    <t>"Resep ayam goreng yang enak”</t>
  </si>
  <si>
    <t>"Cara membuat ayam bakar"</t>
  </si>
  <si>
    <t>Sebelum Preporcessing</t>
  </si>
  <si>
    <t>Setelah Preprocessing</t>
  </si>
  <si>
    <t>"Goreng ikan dengan bumbu Spesial"</t>
  </si>
  <si>
    <t>['resep','ayam','goreng','enak']</t>
  </si>
  <si>
    <t>['cara','buat','ayam','bakar']</t>
  </si>
  <si>
    <t>['goreng','ikan','bumbu','spesial']</t>
  </si>
  <si>
    <t>resep</t>
  </si>
  <si>
    <t>ayam</t>
  </si>
  <si>
    <t>goreng</t>
  </si>
  <si>
    <t>enak</t>
  </si>
  <si>
    <t>cara</t>
  </si>
  <si>
    <t>buat</t>
  </si>
  <si>
    <t>bakar</t>
  </si>
  <si>
    <t>ikan</t>
  </si>
  <si>
    <t>bumbu</t>
  </si>
  <si>
    <t>spesial</t>
  </si>
  <si>
    <t>TF</t>
  </si>
  <si>
    <t>DOC1</t>
  </si>
  <si>
    <t>DOC2</t>
  </si>
  <si>
    <t>DOC3</t>
  </si>
  <si>
    <t>TERM</t>
  </si>
  <si>
    <t>TF Normalisasi</t>
  </si>
  <si>
    <t>IDF</t>
  </si>
  <si>
    <t>DF</t>
  </si>
  <si>
    <t>kata kunci:</t>
  </si>
  <si>
    <t>"Ayam Goreng"</t>
  </si>
  <si>
    <t>TF-IDF</t>
  </si>
  <si>
    <t>DOKUMEN</t>
  </si>
  <si>
    <t>TF-IDF("AYAM")</t>
  </si>
  <si>
    <t>TF-IDF("GORENG")</t>
  </si>
  <si>
    <t>TOTAL</t>
  </si>
  <si>
    <t>RANKING</t>
  </si>
  <si>
    <t>JUMLAH KATA</t>
  </si>
  <si>
    <r>
      <rPr>
        <b/>
        <sz val="11"/>
        <color theme="1"/>
        <rFont val="Calibri"/>
        <family val="2"/>
        <scheme val="minor"/>
      </rPr>
      <t>JUMLAH KATA:</t>
    </r>
    <r>
      <rPr>
        <sz val="11"/>
        <color theme="1"/>
        <rFont val="Calibri"/>
        <family val="2"/>
        <scheme val="minor"/>
      </rPr>
      <t xml:space="preserve"> jumlah kata dalam 1 kalimat(setelah preprocessing di dalam dokumen</t>
    </r>
  </si>
  <si>
    <t>kata kunci</t>
  </si>
  <si>
    <t>Dokumen 1(D1)</t>
  </si>
  <si>
    <t>Dokumen 2(D2)</t>
  </si>
  <si>
    <t>Dokumen 3(D3)</t>
  </si>
  <si>
    <t>Produksi udang windu</t>
  </si>
  <si>
    <t>Laporan udang windu tahun 2025</t>
  </si>
  <si>
    <t>Produksi ikan tahun 2025</t>
  </si>
  <si>
    <t>Laporan harian kamunitas udang</t>
  </si>
  <si>
    <t>token</t>
  </si>
  <si>
    <t>tf</t>
  </si>
  <si>
    <t>D1</t>
  </si>
  <si>
    <t>D2</t>
  </si>
  <si>
    <t>D3</t>
  </si>
  <si>
    <t>Kata Kunci</t>
  </si>
  <si>
    <t>lapor</t>
  </si>
  <si>
    <t>udang</t>
  </si>
  <si>
    <t>windu</t>
  </si>
  <si>
    <t>tahun</t>
  </si>
  <si>
    <t>produksi</t>
  </si>
  <si>
    <t>komunitas</t>
  </si>
  <si>
    <t>D/DF</t>
  </si>
  <si>
    <t>perankingan</t>
  </si>
  <si>
    <t>IDF(log D/DF)</t>
  </si>
  <si>
    <t>W</t>
  </si>
  <si>
    <t>jumlah dokumen (D):</t>
  </si>
  <si>
    <t>masing masing kata (W)</t>
  </si>
  <si>
    <t>JUMLAH DOKUMEN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</si>
</sst>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/>
    <xf numFmtId="0" fontId="0" fillId="4" borderId="0" xfId="0" applyFill="1" applyAlignment="1">
      <alignment horizontal="right" vertical="center"/>
    </xf>
    <xf numFmtId="0" fontId="0" fillId="4" borderId="0" xfId="0" applyFill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5" borderId="1" xfId="0" applyFill="1" applyBorder="1" applyAlignment="1">
      <alignment horizontal="center" vertical="center"/>
    </xf>
    <xf numFmtId="164" fontId="0" fillId="0" borderId="0" xfId="0" applyNumberFormat="1"/>
    <xf numFmtId="0" fontId="0" fillId="5" borderId="1" xfId="0" applyFill="1" applyBorder="1"/>
    <xf numFmtId="164" fontId="0" fillId="3" borderId="0" xfId="0" applyNumberFormat="1" applyFill="1"/>
    <xf numFmtId="0" fontId="0" fillId="5" borderId="2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Border="1"/>
    <xf numFmtId="0" fontId="0" fillId="5" borderId="4" xfId="0" applyFill="1" applyBorder="1"/>
    <xf numFmtId="0" fontId="0" fillId="5" borderId="3" xfId="0" applyFill="1" applyBorder="1"/>
    <xf numFmtId="164" fontId="0" fillId="0" borderId="0" xfId="0" applyNumberFormat="1" applyBorder="1"/>
    <xf numFmtId="164" fontId="0" fillId="3" borderId="0" xfId="0" applyNumberFormat="1" applyFill="1" applyBorder="1"/>
    <xf numFmtId="164" fontId="0" fillId="6" borderId="0" xfId="0" applyNumberFormat="1" applyFill="1" applyBorder="1"/>
    <xf numFmtId="16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3C80-11B5-4E4D-9369-D14D794E78B0}">
  <dimension ref="A1:V15"/>
  <sheetViews>
    <sheetView topLeftCell="E1" zoomScale="99" workbookViewId="0">
      <selection activeCell="K3" sqref="K3"/>
    </sheetView>
  </sheetViews>
  <sheetFormatPr defaultRowHeight="14.5" x14ac:dyDescent="0.35"/>
  <cols>
    <col min="1" max="1" width="10.1796875" customWidth="1"/>
    <col min="2" max="2" width="35.1796875" customWidth="1"/>
    <col min="3" max="3" width="31.6328125" customWidth="1"/>
    <col min="4" max="4" width="3" customWidth="1"/>
    <col min="5" max="5" width="15.08984375" customWidth="1"/>
    <col min="13" max="13" width="12.81640625" customWidth="1"/>
    <col min="19" max="19" width="17.36328125" customWidth="1"/>
    <col min="20" max="20" width="17.453125" customWidth="1"/>
  </cols>
  <sheetData>
    <row r="1" spans="1:22" x14ac:dyDescent="0.35">
      <c r="E1" s="5" t="s">
        <v>26</v>
      </c>
      <c r="F1" s="19" t="s">
        <v>22</v>
      </c>
      <c r="G1" s="19"/>
      <c r="H1" s="19"/>
      <c r="I1" s="19" t="s">
        <v>27</v>
      </c>
      <c r="J1" s="19"/>
      <c r="K1" s="19"/>
      <c r="L1" s="4" t="s">
        <v>29</v>
      </c>
      <c r="M1" s="4" t="s">
        <v>28</v>
      </c>
      <c r="N1" s="19" t="s">
        <v>32</v>
      </c>
      <c r="O1" s="19"/>
      <c r="P1" s="19"/>
    </row>
    <row r="2" spans="1:22" x14ac:dyDescent="0.35">
      <c r="A2" s="3" t="s">
        <v>0</v>
      </c>
      <c r="B2" s="3" t="s">
        <v>6</v>
      </c>
      <c r="C2" s="3" t="s">
        <v>7</v>
      </c>
      <c r="F2" s="3" t="s">
        <v>23</v>
      </c>
      <c r="G2" s="3" t="s">
        <v>24</v>
      </c>
      <c r="H2" s="3" t="s">
        <v>25</v>
      </c>
      <c r="I2" s="6" t="s">
        <v>23</v>
      </c>
      <c r="J2" s="6" t="s">
        <v>24</v>
      </c>
      <c r="K2" s="6" t="s">
        <v>25</v>
      </c>
      <c r="N2" s="6" t="s">
        <v>23</v>
      </c>
      <c r="O2" s="6" t="s">
        <v>24</v>
      </c>
      <c r="P2" s="6" t="s">
        <v>25</v>
      </c>
      <c r="R2" s="6" t="s">
        <v>33</v>
      </c>
      <c r="S2" s="6" t="s">
        <v>34</v>
      </c>
      <c r="T2" s="6" t="s">
        <v>35</v>
      </c>
      <c r="U2" s="6" t="s">
        <v>36</v>
      </c>
      <c r="V2" s="6" t="s">
        <v>37</v>
      </c>
    </row>
    <row r="3" spans="1:22" ht="15.5" x14ac:dyDescent="0.35">
      <c r="A3" s="2" t="s">
        <v>1</v>
      </c>
      <c r="B3" s="1" t="s">
        <v>4</v>
      </c>
      <c r="C3" s="2" t="s">
        <v>9</v>
      </c>
      <c r="E3" s="4" t="s">
        <v>12</v>
      </c>
      <c r="F3">
        <v>1</v>
      </c>
      <c r="G3">
        <v>0</v>
      </c>
      <c r="H3">
        <v>0</v>
      </c>
      <c r="I3">
        <f>F3/$F$13</f>
        <v>0.33333333333333331</v>
      </c>
      <c r="J3">
        <f>G3/$G$13</f>
        <v>0</v>
      </c>
      <c r="K3">
        <f>H3/$H$13</f>
        <v>0</v>
      </c>
      <c r="L3">
        <f>COUNTIF(F3:H3,"&gt;0")</f>
        <v>1</v>
      </c>
      <c r="M3">
        <f>L3/G15</f>
        <v>0.33333333333333331</v>
      </c>
      <c r="N3">
        <f>ROUND(I3*M3,3)</f>
        <v>0.111</v>
      </c>
      <c r="O3">
        <f>ROUND(J3*M3,3)</f>
        <v>0</v>
      </c>
      <c r="P3">
        <f>ROUND(K3*M3,3)</f>
        <v>0</v>
      </c>
      <c r="R3" t="s">
        <v>23</v>
      </c>
      <c r="S3">
        <f>N4</f>
        <v>0.222</v>
      </c>
      <c r="T3">
        <f>N5</f>
        <v>0.222</v>
      </c>
      <c r="U3">
        <f>S3+T3</f>
        <v>0.44400000000000001</v>
      </c>
      <c r="V3">
        <v>1</v>
      </c>
    </row>
    <row r="4" spans="1:22" x14ac:dyDescent="0.35">
      <c r="A4" s="2" t="s">
        <v>2</v>
      </c>
      <c r="B4" s="2" t="s">
        <v>5</v>
      </c>
      <c r="C4" s="2" t="s">
        <v>10</v>
      </c>
      <c r="E4" s="7" t="s">
        <v>13</v>
      </c>
      <c r="F4" s="8">
        <v>1</v>
      </c>
      <c r="G4" s="8">
        <v>1</v>
      </c>
      <c r="H4" s="8">
        <v>0</v>
      </c>
      <c r="I4" s="8">
        <f>F4/$F$13</f>
        <v>0.33333333333333331</v>
      </c>
      <c r="J4" s="8">
        <f t="shared" ref="J4:J12" si="0">G4/$G$13</f>
        <v>0.25</v>
      </c>
      <c r="K4" s="8">
        <f t="shared" ref="K4:K12" si="1">H4/$H$13</f>
        <v>0</v>
      </c>
      <c r="L4" s="8">
        <f>COUNTIF(F4:H4,"&gt;0")</f>
        <v>2</v>
      </c>
      <c r="M4">
        <f t="shared" ref="M4:M12" si="2">L4/$F$13</f>
        <v>0.66666666666666663</v>
      </c>
      <c r="N4" s="8">
        <f>ROUND(I4*M4,3)</f>
        <v>0.222</v>
      </c>
      <c r="O4" s="8">
        <f>ROUND(J4*M4,3)</f>
        <v>0.16700000000000001</v>
      </c>
      <c r="P4" s="8">
        <f>ROUND(K4*M4,3)</f>
        <v>0</v>
      </c>
      <c r="R4" t="s">
        <v>24</v>
      </c>
      <c r="S4">
        <f>O4</f>
        <v>0.16700000000000001</v>
      </c>
      <c r="T4">
        <f>O5</f>
        <v>0</v>
      </c>
      <c r="U4">
        <f t="shared" ref="U4:U5" si="3">S4+T4</f>
        <v>0.16700000000000001</v>
      </c>
      <c r="V4">
        <v>2</v>
      </c>
    </row>
    <row r="5" spans="1:22" x14ac:dyDescent="0.35">
      <c r="A5" s="2" t="s">
        <v>3</v>
      </c>
      <c r="B5" s="2" t="s">
        <v>8</v>
      </c>
      <c r="C5" s="2" t="s">
        <v>11</v>
      </c>
      <c r="E5" s="9" t="s">
        <v>14</v>
      </c>
      <c r="F5" s="10">
        <v>1</v>
      </c>
      <c r="G5" s="10">
        <v>0</v>
      </c>
      <c r="H5" s="10">
        <v>1</v>
      </c>
      <c r="I5" s="10">
        <f>F5/$F$13</f>
        <v>0.33333333333333331</v>
      </c>
      <c r="J5" s="10">
        <f t="shared" si="0"/>
        <v>0</v>
      </c>
      <c r="K5" s="10">
        <f t="shared" si="1"/>
        <v>0.25</v>
      </c>
      <c r="L5" s="10">
        <f t="shared" ref="L4:L12" si="4">COUNTIF(F5:H5,"&gt;0")</f>
        <v>2</v>
      </c>
      <c r="M5">
        <f t="shared" si="2"/>
        <v>0.66666666666666663</v>
      </c>
      <c r="N5" s="10">
        <f>ROUND(I5*M5,3)</f>
        <v>0.222</v>
      </c>
      <c r="O5" s="10">
        <f>ROUND(J5*M5,3)</f>
        <v>0</v>
      </c>
      <c r="P5" s="10">
        <f>ROUND(K5*M5,3)</f>
        <v>0.16700000000000001</v>
      </c>
      <c r="R5" t="s">
        <v>25</v>
      </c>
      <c r="S5">
        <f>P4</f>
        <v>0</v>
      </c>
      <c r="T5">
        <f>P5</f>
        <v>0.16700000000000001</v>
      </c>
      <c r="U5">
        <f t="shared" si="3"/>
        <v>0.16700000000000001</v>
      </c>
      <c r="V5">
        <v>3</v>
      </c>
    </row>
    <row r="6" spans="1:22" x14ac:dyDescent="0.35">
      <c r="E6" s="4" t="s">
        <v>15</v>
      </c>
      <c r="F6">
        <v>1</v>
      </c>
      <c r="G6">
        <v>0</v>
      </c>
      <c r="H6">
        <v>0</v>
      </c>
      <c r="I6">
        <f t="shared" ref="I6:I12" si="5">F6/$F$13</f>
        <v>0.33333333333333331</v>
      </c>
      <c r="J6">
        <f t="shared" si="0"/>
        <v>0</v>
      </c>
      <c r="K6">
        <f t="shared" si="1"/>
        <v>0</v>
      </c>
      <c r="L6">
        <f t="shared" si="4"/>
        <v>1</v>
      </c>
      <c r="M6">
        <f t="shared" si="2"/>
        <v>0.33333333333333331</v>
      </c>
      <c r="N6">
        <f t="shared" ref="N6:N12" si="6">ROUND(I6*M6,3)</f>
        <v>0.111</v>
      </c>
      <c r="O6">
        <f t="shared" ref="O6:O12" si="7">ROUND(J6*M6,3)</f>
        <v>0</v>
      </c>
      <c r="P6">
        <f t="shared" ref="P6:P12" si="8">ROUND(K6*M6,3)</f>
        <v>0</v>
      </c>
    </row>
    <row r="7" spans="1:22" x14ac:dyDescent="0.35">
      <c r="A7" s="2" t="s">
        <v>30</v>
      </c>
      <c r="B7" t="s">
        <v>31</v>
      </c>
      <c r="E7" s="4" t="s">
        <v>16</v>
      </c>
      <c r="F7">
        <v>0</v>
      </c>
      <c r="G7">
        <v>1</v>
      </c>
      <c r="H7">
        <v>0</v>
      </c>
      <c r="I7">
        <f t="shared" si="5"/>
        <v>0</v>
      </c>
      <c r="J7">
        <f t="shared" si="0"/>
        <v>0.25</v>
      </c>
      <c r="K7">
        <f t="shared" si="1"/>
        <v>0</v>
      </c>
      <c r="L7">
        <f t="shared" si="4"/>
        <v>1</v>
      </c>
      <c r="M7">
        <f t="shared" si="2"/>
        <v>0.33333333333333331</v>
      </c>
      <c r="N7">
        <f t="shared" si="6"/>
        <v>0</v>
      </c>
      <c r="O7">
        <f t="shared" si="7"/>
        <v>8.3000000000000004E-2</v>
      </c>
      <c r="P7">
        <f t="shared" si="8"/>
        <v>0</v>
      </c>
    </row>
    <row r="8" spans="1:22" x14ac:dyDescent="0.35">
      <c r="E8" s="4" t="s">
        <v>17</v>
      </c>
      <c r="F8">
        <v>0</v>
      </c>
      <c r="G8">
        <v>1</v>
      </c>
      <c r="H8">
        <v>0</v>
      </c>
      <c r="I8">
        <f t="shared" si="5"/>
        <v>0</v>
      </c>
      <c r="J8">
        <f t="shared" si="0"/>
        <v>0.25</v>
      </c>
      <c r="K8">
        <f t="shared" si="1"/>
        <v>0</v>
      </c>
      <c r="L8">
        <f t="shared" si="4"/>
        <v>1</v>
      </c>
      <c r="M8">
        <f t="shared" si="2"/>
        <v>0.33333333333333331</v>
      </c>
      <c r="N8">
        <f t="shared" si="6"/>
        <v>0</v>
      </c>
      <c r="O8">
        <f t="shared" si="7"/>
        <v>8.3000000000000004E-2</v>
      </c>
      <c r="P8">
        <f t="shared" si="8"/>
        <v>0</v>
      </c>
    </row>
    <row r="9" spans="1:22" x14ac:dyDescent="0.35">
      <c r="E9" s="4" t="s">
        <v>18</v>
      </c>
      <c r="F9">
        <v>0</v>
      </c>
      <c r="G9">
        <v>1</v>
      </c>
      <c r="H9">
        <v>0</v>
      </c>
      <c r="I9">
        <f t="shared" si="5"/>
        <v>0</v>
      </c>
      <c r="J9">
        <f t="shared" si="0"/>
        <v>0.25</v>
      </c>
      <c r="K9">
        <f t="shared" si="1"/>
        <v>0</v>
      </c>
      <c r="L9">
        <f t="shared" si="4"/>
        <v>1</v>
      </c>
      <c r="M9">
        <f t="shared" si="2"/>
        <v>0.33333333333333331</v>
      </c>
      <c r="N9">
        <f t="shared" si="6"/>
        <v>0</v>
      </c>
      <c r="O9">
        <f t="shared" si="7"/>
        <v>8.3000000000000004E-2</v>
      </c>
      <c r="P9">
        <f t="shared" si="8"/>
        <v>0</v>
      </c>
    </row>
    <row r="10" spans="1:22" x14ac:dyDescent="0.35">
      <c r="E10" s="4" t="s">
        <v>19</v>
      </c>
      <c r="F10">
        <v>0</v>
      </c>
      <c r="G10">
        <v>0</v>
      </c>
      <c r="H10">
        <v>1</v>
      </c>
      <c r="I10">
        <f t="shared" si="5"/>
        <v>0</v>
      </c>
      <c r="J10">
        <f t="shared" si="0"/>
        <v>0</v>
      </c>
      <c r="K10">
        <f t="shared" si="1"/>
        <v>0.25</v>
      </c>
      <c r="L10">
        <f t="shared" si="4"/>
        <v>1</v>
      </c>
      <c r="M10">
        <f t="shared" si="2"/>
        <v>0.33333333333333331</v>
      </c>
      <c r="N10">
        <f t="shared" si="6"/>
        <v>0</v>
      </c>
      <c r="O10">
        <f t="shared" si="7"/>
        <v>0</v>
      </c>
      <c r="P10">
        <f t="shared" si="8"/>
        <v>8.3000000000000004E-2</v>
      </c>
    </row>
    <row r="11" spans="1:22" x14ac:dyDescent="0.35">
      <c r="E11" s="4" t="s">
        <v>20</v>
      </c>
      <c r="F11">
        <v>0</v>
      </c>
      <c r="G11">
        <v>0</v>
      </c>
      <c r="H11">
        <v>1</v>
      </c>
      <c r="I11">
        <f t="shared" si="5"/>
        <v>0</v>
      </c>
      <c r="J11">
        <f t="shared" si="0"/>
        <v>0</v>
      </c>
      <c r="K11">
        <f t="shared" si="1"/>
        <v>0.25</v>
      </c>
      <c r="L11">
        <f t="shared" si="4"/>
        <v>1</v>
      </c>
      <c r="M11">
        <f t="shared" si="2"/>
        <v>0.33333333333333331</v>
      </c>
      <c r="N11">
        <f t="shared" si="6"/>
        <v>0</v>
      </c>
      <c r="O11">
        <f t="shared" si="7"/>
        <v>0</v>
      </c>
      <c r="P11">
        <f t="shared" si="8"/>
        <v>8.3000000000000004E-2</v>
      </c>
    </row>
    <row r="12" spans="1:22" x14ac:dyDescent="0.35">
      <c r="E12" s="4" t="s">
        <v>21</v>
      </c>
      <c r="F12">
        <v>0</v>
      </c>
      <c r="G12">
        <v>0</v>
      </c>
      <c r="H12">
        <v>1</v>
      </c>
      <c r="I12">
        <f t="shared" si="5"/>
        <v>0</v>
      </c>
      <c r="J12">
        <f t="shared" si="0"/>
        <v>0</v>
      </c>
      <c r="K12">
        <f t="shared" si="1"/>
        <v>0.25</v>
      </c>
      <c r="L12">
        <f t="shared" si="4"/>
        <v>1</v>
      </c>
      <c r="M12">
        <f t="shared" si="2"/>
        <v>0.33333333333333331</v>
      </c>
      <c r="N12">
        <f t="shared" si="6"/>
        <v>0</v>
      </c>
      <c r="O12">
        <f t="shared" si="7"/>
        <v>0</v>
      </c>
      <c r="P12">
        <f t="shared" si="8"/>
        <v>8.3000000000000004E-2</v>
      </c>
    </row>
    <row r="13" spans="1:22" x14ac:dyDescent="0.35">
      <c r="E13" s="12" t="s">
        <v>38</v>
      </c>
      <c r="F13">
        <v>3</v>
      </c>
      <c r="G13">
        <f t="shared" ref="G13" si="9">SUM(G3:G12)</f>
        <v>4</v>
      </c>
      <c r="H13">
        <f>SUM(H3:H12)</f>
        <v>4</v>
      </c>
    </row>
    <row r="14" spans="1:22" x14ac:dyDescent="0.35">
      <c r="D14" s="20" t="s">
        <v>39</v>
      </c>
      <c r="E14" s="20"/>
      <c r="F14" s="20"/>
      <c r="G14" s="20"/>
      <c r="H14" s="20"/>
      <c r="I14" s="20"/>
      <c r="J14" s="20"/>
      <c r="K14" s="20"/>
    </row>
    <row r="15" spans="1:22" x14ac:dyDescent="0.35">
      <c r="E15" s="26" t="s">
        <v>66</v>
      </c>
      <c r="F15" s="26"/>
      <c r="G15">
        <v>3</v>
      </c>
    </row>
  </sheetData>
  <mergeCells count="5">
    <mergeCell ref="F1:H1"/>
    <mergeCell ref="I1:K1"/>
    <mergeCell ref="N1:P1"/>
    <mergeCell ref="D14:K14"/>
    <mergeCell ref="E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F224-AB9D-4085-9783-BA391D8426A1}">
  <dimension ref="A1:L18"/>
  <sheetViews>
    <sheetView tabSelected="1" workbookViewId="0">
      <selection activeCell="I7" sqref="I7:L7"/>
    </sheetView>
  </sheetViews>
  <sheetFormatPr defaultRowHeight="14.5" x14ac:dyDescent="0.35"/>
  <cols>
    <col min="1" max="1" width="19.26953125" customWidth="1"/>
    <col min="2" max="2" width="10.36328125" customWidth="1"/>
    <col min="8" max="8" width="12.81640625" customWidth="1"/>
    <col min="9" max="9" width="10.90625" customWidth="1"/>
  </cols>
  <sheetData>
    <row r="1" spans="1:12" x14ac:dyDescent="0.35">
      <c r="A1" t="s">
        <v>40</v>
      </c>
      <c r="B1" s="24" t="s">
        <v>44</v>
      </c>
      <c r="C1" s="24"/>
      <c r="D1" s="24"/>
      <c r="E1" s="24"/>
      <c r="F1" s="24"/>
      <c r="G1" s="13"/>
    </row>
    <row r="2" spans="1:12" x14ac:dyDescent="0.35">
      <c r="A2" t="s">
        <v>41</v>
      </c>
      <c r="B2" s="20" t="s">
        <v>45</v>
      </c>
      <c r="C2" s="20"/>
      <c r="D2" s="20"/>
      <c r="E2" s="20"/>
      <c r="F2" s="20"/>
      <c r="G2" s="11"/>
    </row>
    <row r="3" spans="1:12" x14ac:dyDescent="0.35">
      <c r="A3" t="s">
        <v>42</v>
      </c>
      <c r="B3" s="20" t="s">
        <v>46</v>
      </c>
      <c r="C3" s="20"/>
      <c r="D3" s="20"/>
      <c r="E3" s="20"/>
      <c r="F3" s="20"/>
      <c r="G3" s="11"/>
    </row>
    <row r="4" spans="1:12" x14ac:dyDescent="0.35">
      <c r="A4" t="s">
        <v>43</v>
      </c>
      <c r="B4" s="20" t="s">
        <v>47</v>
      </c>
      <c r="C4" s="20"/>
      <c r="D4" s="20"/>
      <c r="E4" s="20"/>
      <c r="F4" s="20"/>
      <c r="G4" s="11"/>
    </row>
    <row r="5" spans="1:12" x14ac:dyDescent="0.35">
      <c r="A5" t="s">
        <v>64</v>
      </c>
      <c r="B5" s="11">
        <v>3</v>
      </c>
    </row>
    <row r="6" spans="1:12" x14ac:dyDescent="0.35">
      <c r="A6" t="s">
        <v>65</v>
      </c>
      <c r="B6" s="11"/>
    </row>
    <row r="7" spans="1:12" x14ac:dyDescent="0.35">
      <c r="A7" s="21" t="s">
        <v>48</v>
      </c>
      <c r="B7" s="21" t="s">
        <v>53</v>
      </c>
      <c r="C7" s="25" t="s">
        <v>49</v>
      </c>
      <c r="D7" s="25"/>
      <c r="E7" s="25"/>
      <c r="F7" s="21" t="s">
        <v>29</v>
      </c>
      <c r="G7" s="21" t="s">
        <v>60</v>
      </c>
      <c r="H7" s="21" t="s">
        <v>62</v>
      </c>
      <c r="I7" s="21" t="s">
        <v>63</v>
      </c>
      <c r="J7" s="22"/>
      <c r="K7" s="21"/>
      <c r="L7" s="21"/>
    </row>
    <row r="8" spans="1:12" x14ac:dyDescent="0.35">
      <c r="A8" s="21"/>
      <c r="B8" s="21"/>
      <c r="C8" s="14" t="s">
        <v>50</v>
      </c>
      <c r="D8" s="14" t="s">
        <v>51</v>
      </c>
      <c r="E8" s="14" t="s">
        <v>52</v>
      </c>
      <c r="F8" s="21"/>
      <c r="G8" s="21"/>
      <c r="H8" s="21"/>
      <c r="I8" s="18" t="s">
        <v>53</v>
      </c>
      <c r="J8" s="16" t="s">
        <v>50</v>
      </c>
      <c r="K8" s="28" t="s">
        <v>51</v>
      </c>
      <c r="L8" s="29" t="s">
        <v>52</v>
      </c>
    </row>
    <row r="9" spans="1:12" x14ac:dyDescent="0.35">
      <c r="A9" s="2" t="s">
        <v>54</v>
      </c>
      <c r="B9" s="2">
        <v>0</v>
      </c>
      <c r="C9" s="2">
        <v>1</v>
      </c>
      <c r="D9" s="2">
        <v>0</v>
      </c>
      <c r="E9" s="2">
        <v>1</v>
      </c>
      <c r="F9">
        <f>COUNTIF(C9:E9,"&gt;0")</f>
        <v>2</v>
      </c>
      <c r="G9">
        <f>1+$B$5/F9</f>
        <v>2.5</v>
      </c>
      <c r="H9" s="15">
        <f>LOG(G9)</f>
        <v>0.3979400086720376</v>
      </c>
      <c r="J9" s="30">
        <f>C9*H9</f>
        <v>0.3979400086720376</v>
      </c>
      <c r="K9" s="33">
        <f>D9*H9</f>
        <v>0</v>
      </c>
      <c r="L9" s="33">
        <f>E9*H9</f>
        <v>0.3979400086720376</v>
      </c>
    </row>
    <row r="10" spans="1:12" x14ac:dyDescent="0.35">
      <c r="A10" s="6" t="s">
        <v>55</v>
      </c>
      <c r="B10" s="6">
        <v>1</v>
      </c>
      <c r="C10" s="6">
        <v>1</v>
      </c>
      <c r="D10" s="6">
        <v>0</v>
      </c>
      <c r="E10" s="6">
        <v>1</v>
      </c>
      <c r="F10">
        <f t="shared" ref="F10:F16" si="0">COUNTIF(C10:E10,"&gt;0")</f>
        <v>2</v>
      </c>
      <c r="G10">
        <f t="shared" ref="G10:G16" si="1">1+$B$5/F10</f>
        <v>2.5</v>
      </c>
      <c r="H10" s="17">
        <f>LOG(G10)</f>
        <v>0.3979400086720376</v>
      </c>
      <c r="I10" s="17">
        <f>H10</f>
        <v>0.3979400086720376</v>
      </c>
      <c r="J10" s="31">
        <f>C10*H10</f>
        <v>0.3979400086720376</v>
      </c>
      <c r="K10" s="31">
        <f>D10*H10</f>
        <v>0</v>
      </c>
      <c r="L10" s="31">
        <f t="shared" ref="L10:L16" si="2">E10*H10</f>
        <v>0.3979400086720376</v>
      </c>
    </row>
    <row r="11" spans="1:12" x14ac:dyDescent="0.35">
      <c r="A11" s="6" t="s">
        <v>56</v>
      </c>
      <c r="B11" s="6">
        <v>1</v>
      </c>
      <c r="C11" s="6">
        <v>1</v>
      </c>
      <c r="D11" s="6">
        <v>0</v>
      </c>
      <c r="E11" s="6">
        <v>0</v>
      </c>
      <c r="F11">
        <f t="shared" si="0"/>
        <v>1</v>
      </c>
      <c r="G11">
        <f t="shared" si="1"/>
        <v>4</v>
      </c>
      <c r="H11" s="17">
        <f t="shared" ref="H10:H16" si="3">LOG(G11)</f>
        <v>0.6020599913279624</v>
      </c>
      <c r="I11" s="17">
        <f>H11</f>
        <v>0.6020599913279624</v>
      </c>
      <c r="J11" s="31">
        <f t="shared" ref="J10:J16" si="4">C11*H11</f>
        <v>0.6020599913279624</v>
      </c>
      <c r="K11" s="31">
        <f t="shared" ref="K10:K16" si="5">D11*H11</f>
        <v>0</v>
      </c>
      <c r="L11" s="31">
        <f t="shared" si="2"/>
        <v>0</v>
      </c>
    </row>
    <row r="12" spans="1:12" x14ac:dyDescent="0.35">
      <c r="A12" s="2" t="s">
        <v>57</v>
      </c>
      <c r="B12" s="2">
        <v>0</v>
      </c>
      <c r="C12" s="2">
        <v>1</v>
      </c>
      <c r="D12" s="2">
        <v>1</v>
      </c>
      <c r="E12" s="2">
        <v>0</v>
      </c>
      <c r="F12">
        <f t="shared" si="0"/>
        <v>2</v>
      </c>
      <c r="G12">
        <f t="shared" si="1"/>
        <v>2.5</v>
      </c>
      <c r="H12" s="15">
        <f t="shared" si="3"/>
        <v>0.3979400086720376</v>
      </c>
      <c r="J12" s="30">
        <f t="shared" si="4"/>
        <v>0.3979400086720376</v>
      </c>
      <c r="K12" s="30">
        <f t="shared" si="5"/>
        <v>0.3979400086720376</v>
      </c>
      <c r="L12" s="30">
        <f t="shared" si="2"/>
        <v>0</v>
      </c>
    </row>
    <row r="13" spans="1:12" x14ac:dyDescent="0.35">
      <c r="A13" s="2">
        <v>2025</v>
      </c>
      <c r="B13" s="2">
        <v>0</v>
      </c>
      <c r="C13" s="2">
        <v>1</v>
      </c>
      <c r="D13" s="2">
        <v>1</v>
      </c>
      <c r="E13" s="2">
        <v>0</v>
      </c>
      <c r="F13">
        <f t="shared" si="0"/>
        <v>2</v>
      </c>
      <c r="G13">
        <f t="shared" si="1"/>
        <v>2.5</v>
      </c>
      <c r="H13" s="15">
        <f t="shared" si="3"/>
        <v>0.3979400086720376</v>
      </c>
      <c r="J13" s="30">
        <f t="shared" si="4"/>
        <v>0.3979400086720376</v>
      </c>
      <c r="K13" s="30">
        <f t="shared" si="5"/>
        <v>0.3979400086720376</v>
      </c>
      <c r="L13" s="30">
        <f t="shared" si="2"/>
        <v>0</v>
      </c>
    </row>
    <row r="14" spans="1:12" x14ac:dyDescent="0.35">
      <c r="A14" s="6" t="s">
        <v>58</v>
      </c>
      <c r="B14" s="6">
        <v>1</v>
      </c>
      <c r="C14" s="6">
        <v>0</v>
      </c>
      <c r="D14" s="6">
        <v>1</v>
      </c>
      <c r="E14" s="6">
        <v>0</v>
      </c>
      <c r="F14">
        <f t="shared" si="0"/>
        <v>1</v>
      </c>
      <c r="G14">
        <f t="shared" si="1"/>
        <v>4</v>
      </c>
      <c r="H14" s="17">
        <f t="shared" si="3"/>
        <v>0.6020599913279624</v>
      </c>
      <c r="I14" s="17">
        <f>H14</f>
        <v>0.6020599913279624</v>
      </c>
      <c r="J14" s="31">
        <f>C14*H14</f>
        <v>0</v>
      </c>
      <c r="K14" s="31">
        <f t="shared" si="5"/>
        <v>0.6020599913279624</v>
      </c>
      <c r="L14" s="31">
        <f>E14*H14</f>
        <v>0</v>
      </c>
    </row>
    <row r="15" spans="1:12" x14ac:dyDescent="0.35">
      <c r="A15" s="2" t="s">
        <v>19</v>
      </c>
      <c r="B15" s="2">
        <v>0</v>
      </c>
      <c r="C15" s="2">
        <v>0</v>
      </c>
      <c r="D15" s="2">
        <v>1</v>
      </c>
      <c r="E15" s="2">
        <v>0</v>
      </c>
      <c r="F15">
        <f t="shared" si="0"/>
        <v>1</v>
      </c>
      <c r="G15">
        <f t="shared" si="1"/>
        <v>4</v>
      </c>
      <c r="H15" s="15">
        <f t="shared" si="3"/>
        <v>0.6020599913279624</v>
      </c>
      <c r="J15" s="30">
        <f>C15*H15</f>
        <v>0</v>
      </c>
      <c r="K15" s="30">
        <f t="shared" si="5"/>
        <v>0.6020599913279624</v>
      </c>
      <c r="L15" s="30">
        <f t="shared" si="2"/>
        <v>0</v>
      </c>
    </row>
    <row r="16" spans="1:12" x14ac:dyDescent="0.35">
      <c r="A16" s="2" t="s">
        <v>59</v>
      </c>
      <c r="B16" s="2">
        <v>0</v>
      </c>
      <c r="C16" s="2">
        <v>0</v>
      </c>
      <c r="D16" s="2">
        <v>0</v>
      </c>
      <c r="E16" s="2">
        <v>1</v>
      </c>
      <c r="F16">
        <f t="shared" si="0"/>
        <v>1</v>
      </c>
      <c r="G16">
        <f t="shared" si="1"/>
        <v>4</v>
      </c>
      <c r="H16" s="15">
        <f t="shared" si="3"/>
        <v>0.6020599913279624</v>
      </c>
      <c r="J16" s="30">
        <f>C16*H16</f>
        <v>0</v>
      </c>
      <c r="K16" s="30">
        <f t="shared" si="5"/>
        <v>0</v>
      </c>
      <c r="L16" s="30">
        <f t="shared" si="2"/>
        <v>0.6020599913279624</v>
      </c>
    </row>
    <row r="17" spans="1:12" x14ac:dyDescent="0.35">
      <c r="C17">
        <f>C10+C11+C14</f>
        <v>2</v>
      </c>
      <c r="D17">
        <f>D10+D11+D14</f>
        <v>1</v>
      </c>
      <c r="E17">
        <f>E10+E11+E14</f>
        <v>1</v>
      </c>
      <c r="J17" s="27"/>
      <c r="K17" s="27"/>
      <c r="L17" s="27"/>
    </row>
    <row r="18" spans="1:12" x14ac:dyDescent="0.35">
      <c r="A18" s="2"/>
      <c r="G18" s="23" t="s">
        <v>61</v>
      </c>
      <c r="H18" s="23"/>
      <c r="I18" s="23"/>
      <c r="J18" s="32">
        <f>J10+J11+J14</f>
        <v>1</v>
      </c>
      <c r="K18" s="30">
        <f>K10+K11+K14</f>
        <v>0.6020599913279624</v>
      </c>
      <c r="L18" s="30">
        <f>L10+L11+L14</f>
        <v>0.3979400086720376</v>
      </c>
    </row>
  </sheetData>
  <mergeCells count="12">
    <mergeCell ref="B1:F1"/>
    <mergeCell ref="A7:A8"/>
    <mergeCell ref="B7:B8"/>
    <mergeCell ref="C7:E7"/>
    <mergeCell ref="F7:F8"/>
    <mergeCell ref="H7:H8"/>
    <mergeCell ref="G7:G8"/>
    <mergeCell ref="I7:L7"/>
    <mergeCell ref="G18:I18"/>
    <mergeCell ref="B2:F2"/>
    <mergeCell ref="B3:F3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MasRus Rusdi</dc:creator>
  <cp:lastModifiedBy>MasRus Rusdi</cp:lastModifiedBy>
  <dcterms:created xsi:type="dcterms:W3CDTF">2025-10-30T09:29:05Z</dcterms:created>
  <dcterms:modified xsi:type="dcterms:W3CDTF">2025-11-04T06:40:27Z</dcterms:modified>
</cp:coreProperties>
</file>