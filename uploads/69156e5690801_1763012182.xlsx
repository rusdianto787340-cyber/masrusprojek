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dy\OneDrive\Documents\"/>
    </mc:Choice>
  </mc:AlternateContent>
  <xr:revisionPtr revIDLastSave="0" documentId="8_{A46D302F-2DB3-4B20-9ADD-12375035F123}" xr6:coauthVersionLast="47" xr6:coauthVersionMax="47" xr10:uidLastSave="{00000000-0000-0000-0000-000000000000}"/>
  <bookViews>
    <workbookView xWindow="-110" yWindow="-110" windowWidth="19420" windowHeight="11020" activeTab="1" xr2:uid="{D43DC25C-BAC0-4601-AE1F-820A37874805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2" l="1" a="1"/>
  <c r="B17" i="2" s="1"/>
  <c r="H13" i="2" a="1"/>
  <c r="H13" i="2" s="1"/>
  <c r="C31" i="2" l="1"/>
  <c r="C30" i="2"/>
  <c r="C29" i="2"/>
  <c r="C28" i="2"/>
  <c r="C27" i="2"/>
  <c r="C26" i="2"/>
  <c r="C25" i="2"/>
  <c r="C23" i="2"/>
  <c r="C32" i="2"/>
  <c r="C2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<sst xmlns="http://schemas.openxmlformats.org/spreadsheetml/2006/main" count="22" uniqueCount="19">
  <si>
    <t>No Absen</t>
  </si>
  <si>
    <t>x</t>
  </si>
  <si>
    <t>y</t>
  </si>
  <si>
    <t>1.5</t>
  </si>
  <si>
    <t>1. Sistem persamaan untuk interpolasi kuadratik</t>
  </si>
  <si>
    <r>
      <t>Rumus = f(x)=ax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+bx+c</t>
    </r>
  </si>
  <si>
    <t>a</t>
  </si>
  <si>
    <t>b</t>
  </si>
  <si>
    <t>c</t>
  </si>
  <si>
    <t>input vektor hasil=</t>
  </si>
  <si>
    <t>=</t>
  </si>
  <si>
    <t>2. grafik Polinomial</t>
  </si>
  <si>
    <t>3. intergral dengan simpson 3/8</t>
  </si>
  <si>
    <t>I=83h​[f(x0​)+3(f(x1​)+f(x2​))+2f(x3​)+f(x4​)]</t>
  </si>
  <si>
    <t>0.2</t>
  </si>
  <si>
    <t>x=3, y=0.2:6a+3b+c=0.2</t>
  </si>
  <si>
    <t>x=9, y=1.5:64a+8b+c=1.5</t>
  </si>
  <si>
    <t>x=6, y=1:36a+6b+c=1.</t>
  </si>
  <si>
    <t>Davi Boy Sandi(236151008)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</si>
</sst>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Grafik</a:t>
            </a:r>
            <a:r>
              <a:rPr lang="en-ID" baseline="0"/>
              <a:t> Polinomial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Sheet2!$B$23:$B$32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Sheet2!$C$23:$C$32</c:f>
              <c:numCache>
                <c:formatCode>General</c:formatCode>
                <c:ptCount val="10"/>
                <c:pt idx="0">
                  <c:v>47.7</c:v>
                </c:pt>
                <c:pt idx="1">
                  <c:v>64.099999999999994</c:v>
                </c:pt>
                <c:pt idx="2">
                  <c:v>127.49999999999999</c:v>
                </c:pt>
                <c:pt idx="3">
                  <c:v>186.29999999999998</c:v>
                </c:pt>
                <c:pt idx="4">
                  <c:v>257.7</c:v>
                </c:pt>
                <c:pt idx="5">
                  <c:v>341.7</c:v>
                </c:pt>
                <c:pt idx="6">
                  <c:v>438.29999999999995</c:v>
                </c:pt>
                <c:pt idx="7">
                  <c:v>547.5</c:v>
                </c:pt>
                <c:pt idx="8">
                  <c:v>669.30000000000007</c:v>
                </c:pt>
                <c:pt idx="9">
                  <c:v>803.7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EA-4D77-9017-7AC65FC2F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6159"/>
        <c:axId val="13655199"/>
      </c:scatterChart>
      <c:valAx>
        <c:axId val="1365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199"/>
        <c:crosses val="autoZero"/>
        <c:crossBetween val="midCat"/>
      </c:valAx>
      <c:valAx>
        <c:axId val="1365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260351</xdr:colOff>
      <xdr:row>20</xdr:row>
      <xdr:rowOff>152400</xdr:rowOff>
    </xdr:from>
    <xdr:to>
      <xdr:col>8</xdr:col>
      <xdr:colOff>396875</xdr:colOff>
      <xdr:row>32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B5E815-02FC-2B04-7EAD-DDC282364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usdy\OneDrive\Documents\tes.xlsx" TargetMode="External"/><Relationship Id="rId1" Type="http://schemas.openxmlformats.org/officeDocument/2006/relationships/externalLinkPath" Target="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3">
          <cell r="B23">
            <v>1</v>
          </cell>
          <cell r="C23">
            <v>23.900000000000002</v>
          </cell>
        </row>
        <row r="24">
          <cell r="B24">
            <v>2</v>
          </cell>
          <cell r="C24">
            <v>33.299999999999997</v>
          </cell>
        </row>
        <row r="25">
          <cell r="B25">
            <v>3</v>
          </cell>
          <cell r="C25">
            <v>63.7</v>
          </cell>
        </row>
        <row r="26">
          <cell r="B26">
            <v>4</v>
          </cell>
          <cell r="C26">
            <v>94.699999999999989</v>
          </cell>
        </row>
        <row r="27">
          <cell r="B27">
            <v>5</v>
          </cell>
          <cell r="C27">
            <v>133.1</v>
          </cell>
        </row>
        <row r="28">
          <cell r="B28">
            <v>6</v>
          </cell>
          <cell r="C28">
            <v>178.9</v>
          </cell>
        </row>
        <row r="29">
          <cell r="B29">
            <v>7</v>
          </cell>
          <cell r="C29">
            <v>232.1</v>
          </cell>
        </row>
        <row r="30">
          <cell r="B30">
            <v>8</v>
          </cell>
          <cell r="C30">
            <v>292.70000000000005</v>
          </cell>
        </row>
        <row r="31">
          <cell r="B31">
            <v>9</v>
          </cell>
          <cell r="C31">
            <v>360.7</v>
          </cell>
        </row>
        <row r="32">
          <cell r="B32">
            <v>10</v>
          </cell>
          <cell r="C32">
            <v>436.1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87641-86CA-49CE-8D40-A3D0B9975D30}">
  <dimension ref="A1:B2"/>
  <sheetViews>
    <sheetView workbookViewId="0">
      <selection activeCell="C1" sqref="C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AD81-F4AF-4D5B-9D5B-70FF79453D27}">
  <dimension ref="A1:H35"/>
  <sheetViews>
    <sheetView tabSelected="1" topLeftCell="C1" workbookViewId="0">
      <selection activeCell="K9" sqref="K9"/>
    </sheetView>
  </sheetViews>
  <sheetFormatPr defaultRowHeight="14.5" x14ac:dyDescent="0.35"/>
  <cols>
    <col min="1" max="4" width="8.7265625" style="4"/>
    <col min="5" max="5" width="14.6328125" style="4" customWidth="1"/>
    <col min="6" max="7" width="8.7265625" style="4"/>
    <col min="8" max="8" width="5.81640625" style="4" customWidth="1"/>
  </cols>
  <sheetData>
    <row r="1" spans="1:8" x14ac:dyDescent="0.35">
      <c r="A1" s="26" t="s">
        <v>18</v>
      </c>
      <c r="B1" s="26"/>
      <c r="C1" s="26"/>
      <c r="D1" s="26"/>
    </row>
    <row r="2" spans="1:8" ht="15" thickBot="1" x14ac:dyDescent="0.4">
      <c r="A2" s="26"/>
      <c r="B2" s="26"/>
      <c r="C2" s="26"/>
      <c r="D2" s="26"/>
    </row>
    <row r="3" spans="1:8" x14ac:dyDescent="0.35">
      <c r="A3" s="1" t="s">
        <v>0</v>
      </c>
      <c r="B3" s="2" t="s">
        <v>1</v>
      </c>
      <c r="C3" s="3" t="s">
        <v>2</v>
      </c>
    </row>
    <row r="4" spans="1:8" x14ac:dyDescent="0.35">
      <c r="A4" s="5"/>
      <c r="B4" s="4">
        <v>3</v>
      </c>
      <c r="C4" s="6" t="s">
        <v>14</v>
      </c>
    </row>
    <row r="5" spans="1:8" x14ac:dyDescent="0.35">
      <c r="A5" s="5">
        <v>8</v>
      </c>
      <c r="B5" s="4">
        <v>6</v>
      </c>
      <c r="C5" s="6">
        <v>1</v>
      </c>
    </row>
    <row r="6" spans="1:8" ht="15" thickBot="1" x14ac:dyDescent="0.4">
      <c r="A6" s="7"/>
      <c r="B6" s="8">
        <v>9</v>
      </c>
      <c r="C6" s="9" t="s">
        <v>3</v>
      </c>
    </row>
    <row r="7" spans="1:8" s="12" customFormat="1" x14ac:dyDescent="0.35">
      <c r="A7" s="10" t="s">
        <v>4</v>
      </c>
      <c r="B7" s="10"/>
      <c r="C7" s="10"/>
      <c r="D7" s="10"/>
      <c r="E7" s="10"/>
      <c r="F7" s="11"/>
      <c r="G7" s="11"/>
      <c r="H7" s="11"/>
    </row>
    <row r="8" spans="1:8" x14ac:dyDescent="0.35">
      <c r="E8" s="13" t="s">
        <v>5</v>
      </c>
      <c r="F8" s="14"/>
      <c r="G8" s="14"/>
    </row>
    <row r="9" spans="1:8" x14ac:dyDescent="0.35">
      <c r="A9" s="13" t="s">
        <v>15</v>
      </c>
      <c r="B9" s="13"/>
      <c r="C9" s="13"/>
      <c r="D9" s="13"/>
    </row>
    <row r="10" spans="1:8" x14ac:dyDescent="0.35">
      <c r="A10" s="14" t="s">
        <v>17</v>
      </c>
      <c r="B10" s="14"/>
      <c r="C10" s="14"/>
      <c r="D10" s="14"/>
    </row>
    <row r="11" spans="1:8" x14ac:dyDescent="0.35">
      <c r="A11" s="14" t="s">
        <v>16</v>
      </c>
      <c r="B11" s="14"/>
      <c r="C11" s="14"/>
      <c r="D11" s="14"/>
    </row>
    <row r="12" spans="1:8" x14ac:dyDescent="0.35">
      <c r="B12" s="4" t="s">
        <v>6</v>
      </c>
      <c r="C12" s="4" t="s">
        <v>7</v>
      </c>
      <c r="D12" s="4" t="s">
        <v>8</v>
      </c>
    </row>
    <row r="13" spans="1:8" x14ac:dyDescent="0.35">
      <c r="B13" s="15">
        <v>9</v>
      </c>
      <c r="C13" s="16">
        <v>3</v>
      </c>
      <c r="D13" s="17">
        <v>1</v>
      </c>
      <c r="F13" s="18">
        <v>0.2</v>
      </c>
      <c r="H13" s="4" cm="1">
        <f t="array" ref="H13:H15">MMULT($B$13:$D$15,$F$13:$F$15)</f>
        <v>6.3</v>
      </c>
    </row>
    <row r="14" spans="1:8" x14ac:dyDescent="0.35">
      <c r="B14" s="19">
        <v>36</v>
      </c>
      <c r="C14" s="4">
        <v>6</v>
      </c>
      <c r="D14" s="20">
        <v>1</v>
      </c>
      <c r="E14" s="4" t="s">
        <v>9</v>
      </c>
      <c r="F14" s="21">
        <v>1</v>
      </c>
      <c r="G14" s="22" t="s">
        <v>10</v>
      </c>
      <c r="H14" s="4">
        <v>14.7</v>
      </c>
    </row>
    <row r="15" spans="1:8" x14ac:dyDescent="0.35">
      <c r="B15" s="23">
        <v>81</v>
      </c>
      <c r="C15" s="24">
        <v>9</v>
      </c>
      <c r="D15" s="25">
        <v>1</v>
      </c>
      <c r="F15" s="4">
        <v>1.5</v>
      </c>
      <c r="H15" s="4">
        <v>26.7</v>
      </c>
    </row>
    <row r="17" spans="1:5" x14ac:dyDescent="0.35">
      <c r="B17" s="4" cm="1">
        <f t="array" ref="B17:D19">MINVERSE(B13:D15)</f>
        <v>5.555555555555558E-2</v>
      </c>
      <c r="C17" s="4">
        <v>-0.1111111111111111</v>
      </c>
      <c r="D17" s="4">
        <v>5.5555555555555552E-2</v>
      </c>
    </row>
    <row r="18" spans="1:5" x14ac:dyDescent="0.35">
      <c r="B18" s="4">
        <v>-0.83333333333333359</v>
      </c>
      <c r="C18" s="4">
        <v>1.3333333333333335</v>
      </c>
      <c r="D18" s="4">
        <v>-0.5</v>
      </c>
    </row>
    <row r="19" spans="1:5" x14ac:dyDescent="0.35">
      <c r="B19" s="4">
        <v>3.0000000000000009</v>
      </c>
      <c r="C19" s="4">
        <v>-3.0000000000000009</v>
      </c>
      <c r="D19" s="4">
        <v>1.0000000000000002</v>
      </c>
    </row>
    <row r="21" spans="1:5" x14ac:dyDescent="0.35">
      <c r="A21" s="10" t="s">
        <v>11</v>
      </c>
      <c r="B21" s="10"/>
      <c r="C21" s="10"/>
      <c r="D21" s="10"/>
      <c r="E21" s="10"/>
    </row>
    <row r="22" spans="1:5" x14ac:dyDescent="0.35">
      <c r="B22" s="4" t="s">
        <v>1</v>
      </c>
    </row>
    <row r="23" spans="1:5" x14ac:dyDescent="0.35">
      <c r="B23" s="4">
        <v>1</v>
      </c>
      <c r="C23" s="4">
        <f>H13*(B23*B23)+H14*B23+H15</f>
        <v>47.7</v>
      </c>
    </row>
    <row r="24" spans="1:5" x14ac:dyDescent="0.35">
      <c r="B24" s="4">
        <v>2</v>
      </c>
      <c r="C24" s="4">
        <f>B24*(B24*B24)+H14*B24+H15</f>
        <v>64.099999999999994</v>
      </c>
    </row>
    <row r="25" spans="1:5" x14ac:dyDescent="0.35">
      <c r="B25" s="4">
        <v>3</v>
      </c>
      <c r="C25" s="4">
        <f>H13*(B25*B25)+H14*B25+H15</f>
        <v>127.49999999999999</v>
      </c>
    </row>
    <row r="26" spans="1:5" x14ac:dyDescent="0.35">
      <c r="B26" s="4">
        <v>4</v>
      </c>
      <c r="C26" s="4">
        <f>H13*(B26*B26)+H14*B26+H15</f>
        <v>186.29999999999998</v>
      </c>
    </row>
    <row r="27" spans="1:5" x14ac:dyDescent="0.35">
      <c r="B27" s="4">
        <v>5</v>
      </c>
      <c r="C27" s="4">
        <f>H13*(B27*B27)+H14*B27+H15</f>
        <v>257.7</v>
      </c>
    </row>
    <row r="28" spans="1:5" x14ac:dyDescent="0.35">
      <c r="B28" s="4">
        <v>6</v>
      </c>
      <c r="C28" s="4">
        <f>H13*(B28*B28)+H14*B28+H15</f>
        <v>341.7</v>
      </c>
    </row>
    <row r="29" spans="1:5" x14ac:dyDescent="0.35">
      <c r="B29" s="4">
        <v>7</v>
      </c>
      <c r="C29" s="4">
        <f>H13*(B29*B29)+H14*B29+H15</f>
        <v>438.29999999999995</v>
      </c>
    </row>
    <row r="30" spans="1:5" x14ac:dyDescent="0.35">
      <c r="B30" s="4">
        <v>8</v>
      </c>
      <c r="C30" s="4">
        <f>H13*(B30*B30)+H14*B30+H15</f>
        <v>547.5</v>
      </c>
    </row>
    <row r="31" spans="1:5" x14ac:dyDescent="0.35">
      <c r="B31" s="4">
        <v>9</v>
      </c>
      <c r="C31" s="4">
        <f>H13*(B31*B31)+H14*B31+H15</f>
        <v>669.30000000000007</v>
      </c>
    </row>
    <row r="32" spans="1:5" x14ac:dyDescent="0.35">
      <c r="B32" s="4">
        <v>10</v>
      </c>
      <c r="C32" s="4">
        <f>H13*(B32*B32)+H14*B32+H15</f>
        <v>803.7</v>
      </c>
    </row>
    <row r="34" spans="1:4" x14ac:dyDescent="0.35">
      <c r="A34" s="10" t="s">
        <v>12</v>
      </c>
      <c r="B34" s="10"/>
      <c r="C34" s="10"/>
      <c r="D34" s="10"/>
    </row>
    <row r="35" spans="1:4" x14ac:dyDescent="0.35">
      <c r="A35" s="10" t="s">
        <v>13</v>
      </c>
      <c r="B35" s="10"/>
      <c r="C35" s="10"/>
    </row>
  </sheetData>
  <mergeCells count="9">
    <mergeCell ref="A34:D34"/>
    <mergeCell ref="A35:C35"/>
    <mergeCell ref="A1:D2"/>
    <mergeCell ref="A7:E7"/>
    <mergeCell ref="E8:G8"/>
    <mergeCell ref="A9:D9"/>
    <mergeCell ref="A10:D10"/>
    <mergeCell ref="A11:D11"/>
    <mergeCell ref="A21:E2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MasRus Rusdi</dc:creator>
  <cp:lastModifiedBy>MasRus Rusdi</cp:lastModifiedBy>
  <cp:lastPrinted>2024-11-18T10:30:17Z</cp:lastPrinted>
  <dcterms:created xsi:type="dcterms:W3CDTF">2024-11-18T10:07:28Z</dcterms:created>
  <dcterms:modified xsi:type="dcterms:W3CDTF">2024-11-18T10:46:09Z</dcterms:modified>
</cp:coreProperties>
</file>